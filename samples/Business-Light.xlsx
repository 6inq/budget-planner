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Revenue" sheetId="2" state="visible" r:id="rId2"/>
    <sheet name="Payroll" sheetId="3" state="visible" r:id="rId3"/>
    <sheet name="Expenses" sheetId="4" state="visible" r:id="rId4"/>
    <sheet name="Reserve Goals" sheetId="5" state="visible" r:id="rId5"/>
    <sheet name="Loans &amp; Credit" sheetId="6" state="visible" r:id="rId6"/>
    <sheet name="Lists" sheetId="7" state="hidden" r:id="rId7"/>
  </sheets>
  <definedNames>
    <definedName name="_xlnm.Print_Area" localSheetId="0">'Dashboard'!$A$1:$O$54</definedName>
    <definedName name="_xlnm.Print_Area" localSheetId="1">'Revenue'!$A$1:$Q$22</definedName>
    <definedName name="_xlnm.Print_Area" localSheetId="2">'Payroll'!$A$1:$G$37</definedName>
    <definedName name="_xlnm.Print_Area" localSheetId="3">'Expenses'!$A$1:$S$68</definedName>
    <definedName name="_xlnm.Print_Area" localSheetId="4">'Reserve Goals'!$A$1:$J$17</definedName>
    <definedName name="_xlnm.Print_Area" localSheetId="5">'Loans &amp; Credit'!$A$1:$I$17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yyyy-mm-dd"/>
    <numFmt numFmtId="165" formatCode="ddd, mmm d, yyyy"/>
    <numFmt numFmtId="166" formatCode="mmm yyyy"/>
    <numFmt numFmtId="167" formatCode="&quot;$&quot;#,##0.00;-&quot;$&quot;#,##0.00;&quot;$&quot;0.00"/>
    <numFmt numFmtId="168" formatCode="mmm d, yyyy"/>
    <numFmt numFmtId="169" formatCode="0.0%"/>
    <numFmt numFmtId="170" formatCode="0.00&quot;%&quot;"/>
    <numFmt numFmtId="171" formatCode="&quot;$&quot;#,##0;-&quot;$&quot;#,##0;&quot;$&quot;0"/>
  </numFmts>
  <fonts count="12">
    <font>
      <name val="Calibri"/>
      <family val="2"/>
      <color theme="1"/>
      <sz val="11"/>
      <scheme val="minor"/>
    </font>
    <font>
      <name val="Segoe UI"/>
      <color rgb="001F2937"/>
      <sz val="10"/>
    </font>
    <font>
      <name val="Segoe UI"/>
      <b val="1"/>
      <color rgb="001F2937"/>
      <sz val="22"/>
    </font>
    <font>
      <name val="Segoe UI"/>
      <i val="1"/>
      <color rgb="006B7280"/>
      <sz val="10"/>
    </font>
    <font>
      <name val="Segoe UI"/>
      <b val="1"/>
      <color rgb="00FFFFFF"/>
      <sz val="10"/>
    </font>
    <font>
      <name val="Segoe UI"/>
      <color rgb="006B7280"/>
      <sz val="10"/>
    </font>
    <font>
      <name val="Segoe UI"/>
      <b val="1"/>
      <color rgb="001F2937"/>
      <sz val="10"/>
    </font>
    <font>
      <name val="Segoe UI"/>
      <b val="1"/>
      <color rgb="001F2937"/>
      <sz val="12"/>
    </font>
    <font>
      <name val="Segoe UI"/>
      <b val="1"/>
      <color rgb="006B7280"/>
      <sz val="9"/>
    </font>
    <font>
      <name val="Segoe UI"/>
      <b val="1"/>
      <color rgb="001F2937"/>
      <sz val="20"/>
    </font>
    <font>
      <name val="Segoe UI"/>
      <color rgb="006B7280"/>
      <sz val="8"/>
    </font>
    <font>
      <name val="Segoe UI"/>
      <b val="1"/>
      <color rgb="001F2937"/>
      <sz val="18"/>
    </font>
  </fonts>
  <fills count="7">
    <fill>
      <patternFill/>
    </fill>
    <fill>
      <patternFill patternType="gray125"/>
    </fill>
    <fill>
      <patternFill patternType="solid">
        <fgColor rgb="00F5F6FA"/>
        <bgColor rgb="00F5F6FA"/>
      </patternFill>
    </fill>
    <fill>
      <patternFill patternType="solid">
        <fgColor rgb="0014B8A6"/>
        <bgColor rgb="0014B8A6"/>
      </patternFill>
    </fill>
    <fill>
      <patternFill patternType="solid">
        <fgColor rgb="00EEF0F6"/>
        <bgColor rgb="00EEF0F6"/>
      </patternFill>
    </fill>
    <fill>
      <patternFill patternType="solid">
        <fgColor rgb="00FFFFFF"/>
        <bgColor rgb="00FFFFFF"/>
      </patternFill>
    </fill>
    <fill>
      <patternFill patternType="solid">
        <fgColor rgb="00F9FAFC"/>
        <bgColor rgb="00F9FAFC"/>
      </patternFill>
    </fill>
  </fills>
  <borders count="6">
    <border>
      <left/>
      <right/>
      <top/>
      <bottom/>
      <diagonal/>
    </border>
    <border>
      <left style="thin">
        <color rgb="00E3E6EE"/>
      </left>
      <right style="thin">
        <color rgb="00E3E6EE"/>
      </right>
      <top style="thin">
        <color rgb="00E3E6EE"/>
      </top>
      <bottom style="thin">
        <color rgb="00E3E6EE"/>
      </bottom>
    </border>
    <border>
      <top style="medium">
        <color rgb="0014B8A6"/>
      </top>
      <bottom style="thin">
        <color rgb="00E3E6EE"/>
      </bottom>
    </border>
    <border>
      <left style="thick">
        <color rgb="00F5F6FA"/>
      </left>
      <right style="thick">
        <color rgb="00F5F6FA"/>
      </right>
      <top style="thick">
        <color rgb="0014B8A6"/>
      </top>
    </border>
    <border>
      <left style="thick">
        <color rgb="00F5F6FA"/>
      </left>
      <right style="thick">
        <color rgb="00F5F6FA"/>
      </right>
    </border>
    <border>
      <left style="thick">
        <color rgb="00F5F6FA"/>
      </left>
      <right style="thick">
        <color rgb="00F5F6FA"/>
      </right>
      <bottom style="thick">
        <color rgb="00F5F6FA"/>
      </bottom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2" borderId="0" pivotButton="0" quotePrefix="0" xfId="0"/>
    <xf numFmtId="0" fontId="2" fillId="2" borderId="0" applyAlignment="1" pivotButton="0" quotePrefix="0" xfId="0">
      <alignment vertical="center"/>
    </xf>
    <xf numFmtId="0" fontId="3" fillId="2" borderId="0" pivotButton="0" quotePrefix="0" xfId="0"/>
    <xf numFmtId="0" fontId="8" fillId="5" borderId="3" applyAlignment="1" pivotButton="0" quotePrefix="0" xfId="0">
      <alignment horizontal="left" vertical="center" indent="1"/>
    </xf>
    <xf numFmtId="0" fontId="0" fillId="5" borderId="3" pivotButton="0" quotePrefix="0" xfId="0"/>
    <xf numFmtId="171" fontId="9" fillId="5" borderId="4" applyAlignment="1" pivotButton="0" quotePrefix="0" xfId="0">
      <alignment horizontal="left" vertical="center" indent="1"/>
    </xf>
    <xf numFmtId="0" fontId="0" fillId="5" borderId="4" pivotButton="0" quotePrefix="0" xfId="0"/>
    <xf numFmtId="169" fontId="9" fillId="5" borderId="4" applyAlignment="1" pivotButton="0" quotePrefix="0" xfId="0">
      <alignment horizontal="left" vertical="center" indent="1"/>
    </xf>
    <xf numFmtId="1" fontId="9" fillId="5" borderId="4" applyAlignment="1" pivotButton="0" quotePrefix="0" xfId="0">
      <alignment horizontal="left" vertical="center" indent="1"/>
    </xf>
    <xf numFmtId="0" fontId="10" fillId="5" borderId="5" applyAlignment="1" pivotButton="0" quotePrefix="0" xfId="0">
      <alignment horizontal="left" vertical="center" indent="1"/>
    </xf>
    <xf numFmtId="0" fontId="0" fillId="5" borderId="5" pivotButton="0" quotePrefix="0" xfId="0"/>
    <xf numFmtId="0" fontId="7" fillId="2" borderId="0" pivotButton="0" quotePrefix="0" xfId="0"/>
    <xf numFmtId="0" fontId="4" fillId="3" borderId="1" applyAlignment="1" pivotButton="0" quotePrefix="0" xfId="0">
      <alignment horizontal="center" vertical="center"/>
    </xf>
    <xf numFmtId="166" fontId="1" fillId="5" borderId="1" applyAlignment="1" pivotButton="0" quotePrefix="0" xfId="0">
      <alignment horizontal="left" vertical="center"/>
    </xf>
    <xf numFmtId="1" fontId="1" fillId="5" borderId="1" applyAlignment="1" pivotButton="0" quotePrefix="0" xfId="0">
      <alignment horizontal="right" vertical="center"/>
    </xf>
    <xf numFmtId="167" fontId="1" fillId="5" borderId="1" applyAlignment="1" pivotButton="0" quotePrefix="0" xfId="0">
      <alignment horizontal="right" vertical="center"/>
    </xf>
    <xf numFmtId="169" fontId="1" fillId="5" borderId="1" applyAlignment="1" pivotButton="0" quotePrefix="0" xfId="0">
      <alignment horizontal="right" vertical="center"/>
    </xf>
    <xf numFmtId="0" fontId="1" fillId="5" borderId="1" applyAlignment="1" pivotButton="0" quotePrefix="0" xfId="0">
      <alignment horizontal="left" vertical="center"/>
    </xf>
    <xf numFmtId="166" fontId="1" fillId="6" borderId="1" applyAlignment="1" pivotButton="0" quotePrefix="0" xfId="0">
      <alignment horizontal="left" vertical="center"/>
    </xf>
    <xf numFmtId="1" fontId="1" fillId="6" borderId="1" applyAlignment="1" pivotButton="0" quotePrefix="0" xfId="0">
      <alignment horizontal="right" vertical="center"/>
    </xf>
    <xf numFmtId="167" fontId="1" fillId="6" borderId="1" applyAlignment="1" pivotButton="0" quotePrefix="0" xfId="0">
      <alignment horizontal="right" vertical="center"/>
    </xf>
    <xf numFmtId="169" fontId="1" fillId="6" borderId="1" applyAlignment="1" pivotButton="0" quotePrefix="0" xfId="0">
      <alignment horizontal="right" vertical="center"/>
    </xf>
    <xf numFmtId="0" fontId="1" fillId="6" borderId="1" applyAlignment="1" pivotButton="0" quotePrefix="0" xfId="0">
      <alignment horizontal="left" vertical="center"/>
    </xf>
    <xf numFmtId="0" fontId="6" fillId="5" borderId="2" pivotButton="0" quotePrefix="0" xfId="0"/>
    <xf numFmtId="1" fontId="6" fillId="5" borderId="2" applyAlignment="1" pivotButton="0" quotePrefix="0" xfId="0">
      <alignment horizontal="right"/>
    </xf>
    <xf numFmtId="167" fontId="6" fillId="5" borderId="2" applyAlignment="1" pivotButton="0" quotePrefix="0" xfId="0">
      <alignment horizontal="right"/>
    </xf>
    <xf numFmtId="169" fontId="6" fillId="5" borderId="2" applyAlignment="1" pivotButton="0" quotePrefix="0" xfId="0">
      <alignment horizontal="right"/>
    </xf>
    <xf numFmtId="167" fontId="6" fillId="5" borderId="2" pivotButton="0" quotePrefix="0" xfId="0"/>
    <xf numFmtId="169" fontId="6" fillId="5" borderId="2" pivotButton="0" quotePrefix="0" xfId="0"/>
    <xf numFmtId="171" fontId="11" fillId="5" borderId="4" applyAlignment="1" pivotButton="0" quotePrefix="0" xfId="0">
      <alignment horizontal="left" vertical="center" indent="1"/>
    </xf>
    <xf numFmtId="169" fontId="11" fillId="5" borderId="4" applyAlignment="1" pivotButton="0" quotePrefix="0" xfId="0">
      <alignment horizontal="left" vertical="center" indent="1"/>
    </xf>
    <xf numFmtId="166" fontId="4" fillId="3" borderId="1" applyAlignment="1" pivotButton="0" quotePrefix="0" xfId="0">
      <alignment horizontal="center" vertical="center"/>
    </xf>
    <xf numFmtId="0" fontId="1" fillId="5" borderId="1" pivotButton="0" quotePrefix="0" xfId="0"/>
    <xf numFmtId="167" fontId="1" fillId="5" borderId="1" pivotButton="0" quotePrefix="0" xfId="0"/>
    <xf numFmtId="167" fontId="6" fillId="4" borderId="1" pivotButton="0" quotePrefix="0" xfId="0"/>
    <xf numFmtId="0" fontId="1" fillId="6" borderId="1" pivotButton="0" quotePrefix="0" xfId="0"/>
    <xf numFmtId="167" fontId="1" fillId="6" borderId="1" pivotButton="0" quotePrefix="0" xfId="0"/>
    <xf numFmtId="0" fontId="5" fillId="4" borderId="1" applyAlignment="1" pivotButton="0" quotePrefix="0" xfId="0">
      <alignment horizontal="center" vertical="center"/>
    </xf>
    <xf numFmtId="165" fontId="1" fillId="5" borderId="1" pivotButton="0" quotePrefix="0" xfId="0"/>
    <xf numFmtId="166" fontId="1" fillId="4" borderId="1" pivotButton="0" quotePrefix="0" xfId="0"/>
    <xf numFmtId="165" fontId="1" fillId="6" borderId="1" pivotButton="0" quotePrefix="0" xfId="0"/>
    <xf numFmtId="0" fontId="6" fillId="4" borderId="1" pivotButton="0" quotePrefix="0" xfId="0"/>
    <xf numFmtId="0" fontId="1" fillId="4" borderId="1" pivotButton="0" quotePrefix="0" xfId="0"/>
    <xf numFmtId="0" fontId="1" fillId="4" borderId="1" applyAlignment="1" pivotButton="0" quotePrefix="0" xfId="0">
      <alignment horizontal="center" vertical="center"/>
    </xf>
    <xf numFmtId="167" fontId="1" fillId="4" borderId="1" pivotButton="0" quotePrefix="0" xfId="0"/>
    <xf numFmtId="0" fontId="1" fillId="6" borderId="1" applyAlignment="1" pivotButton="0" quotePrefix="0" xfId="0">
      <alignment horizontal="center" vertical="center"/>
    </xf>
    <xf numFmtId="0" fontId="1" fillId="5" borderId="1" applyAlignment="1" pivotButton="0" quotePrefix="0" xfId="0">
      <alignment horizontal="center" vertical="center"/>
    </xf>
    <xf numFmtId="169" fontId="1" fillId="4" borderId="1" pivotButton="0" quotePrefix="0" xfId="0"/>
    <xf numFmtId="168" fontId="1" fillId="5" borderId="1" pivotButton="0" quotePrefix="0" xfId="0"/>
    <xf numFmtId="1" fontId="1" fillId="4" borderId="1" pivotButton="0" quotePrefix="0" xfId="0"/>
    <xf numFmtId="168" fontId="1" fillId="6" borderId="1" pivotButton="0" quotePrefix="0" xfId="0"/>
    <xf numFmtId="170" fontId="1" fillId="5" borderId="1" pivotButton="0" quotePrefix="0" xfId="0"/>
    <xf numFmtId="1" fontId="1" fillId="4" borderId="1" applyAlignment="1" pivotButton="0" quotePrefix="0" xfId="0">
      <alignment horizontal="right" vertical="center"/>
    </xf>
    <xf numFmtId="167" fontId="1" fillId="4" borderId="1" applyAlignment="1" pivotButton="0" quotePrefix="0" xfId="0">
      <alignment horizontal="right" vertical="center"/>
    </xf>
    <xf numFmtId="166" fontId="1" fillId="4" borderId="1" applyAlignment="1" pivotButton="0" quotePrefix="0" xfId="0">
      <alignment horizontal="right" vertical="center"/>
    </xf>
    <xf numFmtId="170" fontId="1" fillId="6" borderId="1" pivotButton="0" quotePrefix="0" xfId="0"/>
  </cellXfs>
  <cellStyles count="1">
    <cellStyle name="Normal" xfId="0" builtinId="0" hidden="0"/>
  </cellStyles>
  <dxfs count="6">
    <dxf>
      <font>
        <name val="Segoe UI"/>
        <b val="1"/>
        <color rgb="00EF4444"/>
      </font>
    </dxf>
    <dxf>
      <font>
        <name val="Segoe UI"/>
        <b val="1"/>
        <color rgb="0022C55E"/>
      </font>
    </dxf>
    <dxf>
      <font>
        <name val="Segoe UI"/>
        <b val="1"/>
        <color rgb="001F2937"/>
      </font>
      <fill>
        <patternFill patternType="solid">
          <fgColor rgb="00CBEFEB"/>
          <bgColor rgb="00CBEFEB"/>
        </patternFill>
      </fill>
    </dxf>
    <dxf>
      <font>
        <name val="Segoe UI"/>
        <b val="1"/>
        <color rgb="00EF4444"/>
        <sz val="20"/>
      </font>
    </dxf>
    <dxf>
      <font>
        <name val="Segoe UI"/>
        <b val="1"/>
        <color rgb="0022C55E"/>
        <sz val="20"/>
      </font>
    </dxf>
    <dxf>
      <font>
        <name val="Segoe UI"/>
        <b val="1"/>
        <color rgb="0014B8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charts/chart1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1F2937"/>
                </a:solidFill>
                <a:latin typeface="Segoe UI"/>
              </a:defRPr>
            </a:pPr>
            <a:r>
              <a:rPr sz="1200" b="1">
                <a:solidFill>
                  <a:srgbClr val="1F2937"/>
                </a:solidFill>
                <a:latin typeface="Segoe UI"/>
              </a:rPr>
              <a:t>Revenue vs Expenses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'Dashboard'!D29</f>
            </strRef>
          </tx>
          <spPr>
            <a:solidFill>
              <a:srgbClr val="14B8A6"/>
            </a:solidFill>
            <a:ln>
              <a:solidFill>
                <a:srgbClr val="14B8A6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'Dashboard'!$D$30:$D$41</f>
            </numRef>
          </val>
        </ser>
        <ser>
          <idx val="1"/>
          <order val="1"/>
          <tx>
            <strRef>
              <f>'Dashboard'!G29</f>
            </strRef>
          </tx>
          <spPr>
            <a:solidFill>
              <a:srgbClr val="22D3EE"/>
            </a:solidFill>
            <a:ln>
              <a:solidFill>
                <a:srgbClr val="22D3EE"/>
              </a:solidFill>
              <a:prstDash val="solid"/>
            </a:ln>
          </spPr>
          <cat>
            <numRef>
              <f>'Dashboard'!$B$30:$B$41</f>
            </numRef>
          </cat>
          <val>
            <numRef>
              <f>'Dashboard'!$G$30:$G$41</f>
            </numRef>
          </val>
        </ser>
        <gapWidth val="60"/>
        <overlap val="-10"/>
        <axId val="10"/>
        <axId val="100"/>
      </barChart>
      <lineChart>
        <grouping val="standard"/>
        <ser>
          <idx val="2"/>
          <order val="2"/>
          <tx>
            <strRef>
              <f>'Dashboard'!H29</f>
            </strRef>
          </tx>
          <spPr>
            <a:solidFill>
              <a:srgbClr val="22C55E"/>
            </a:solidFill>
            <a:ln w="28575">
              <a:solidFill>
                <a:srgbClr val="22C55E"/>
              </a:solidFill>
              <a:prstDash val="solid"/>
            </a:ln>
          </spPr>
          <marker>
            <symbol val="circle"/>
            <size val="5"/>
            <spPr>
              <a:solidFill>
                <a:srgbClr val="22C55E"/>
              </a:solidFill>
              <a:ln>
                <a:solidFill>
                  <a:srgbClr val="22C55E"/>
                </a:solidFill>
                <a:prstDash val="solid"/>
              </a:ln>
            </spPr>
          </marker>
          <cat>
            <numRef>
              <f>'Dashboard'!$B$30:$B$41</f>
            </numRef>
          </cat>
          <val>
            <numRef>
              <f>'Dashboard'!$H$30:$H$41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numFmt formatCode="mmm" sourceLinked="0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3E6EE"/>
              </a:solidFill>
              <a:prstDash val="solid"/>
            </a:ln>
          </spPr>
        </majorGridlines>
        <numFmt formatCode="&quot;$&quot;#,##0;-&quot;$&quot;#,##0;&quot;$&quot;0" sourceLinked="0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"/>
      </valAx>
      <spPr>
        <a:noFill/>
        <a:ln>
          <a:prstDash val="solid"/>
        </a:ln>
      </spPr>
    </plotArea>
    <legend>
      <legendPos val="b"/>
      <overlay val="0"/>
      <txPr>
        <a:bodyPr/>
        <a:p>
          <a:pPr>
            <a:defRPr sz="900" b="0">
              <a:solidFill>
                <a:srgbClr val="1F2937"/>
              </a:solidFill>
              <a:latin typeface="Segoe UI"/>
            </a:defRPr>
          </a:pPr>
          <a:r>
            <a:t/>
          </a:r>
          <a:endParaRPr sz="900" b="0">
            <a:solidFill>
              <a:srgbClr val="1F2937"/>
            </a:solidFill>
            <a:latin typeface="Segoe UI"/>
          </a:endParaRPr>
        </a:p>
      </txPr>
    </legend>
    <plotVisOnly val="1"/>
    <dispBlanksAs val="gap"/>
  </chart>
  <spPr>
    <a:solidFill>
      <a:srgbClr val="FFFFFF"/>
    </a:solidFill>
    <a:ln>
      <a:solidFill>
        <a:srgbClr val="E3E6EE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roundedCorners val="1"/>
  <chart>
    <title>
      <tx>
        <rich>
          <a:bodyPr/>
          <a:p>
            <a:pPr>
              <a:defRPr sz="1200" b="1">
                <a:solidFill>
                  <a:srgbClr val="1F2937"/>
                </a:solidFill>
                <a:latin typeface="Segoe UI"/>
              </a:defRPr>
            </a:pPr>
            <a:r>
              <a:rPr sz="1200" b="1">
                <a:solidFill>
                  <a:srgbClr val="1F2937"/>
                </a:solidFill>
                <a:latin typeface="Segoe UI"/>
              </a:rPr>
              <a:t>Expenses by Category</a:t>
            </a:r>
          </a:p>
        </rich>
      </tx>
      <overlay val="0"/>
    </title>
    <plotArea>
      <barChart>
        <barDir val="bar"/>
        <grouping val="clustered"/>
        <varyColors val="1"/>
        <ser>
          <idx val="0"/>
          <order val="0"/>
          <tx>
            <strRef>
              <f>'Dashboard'!L29</f>
            </strRef>
          </tx>
          <spPr>
            <a:ln>
              <a:prstDash val="solid"/>
            </a:ln>
          </spPr>
          <dPt>
            <idx val="0"/>
            <spPr>
              <a:solidFill>
                <a:srgbClr val="14B8A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"/>
            <spPr>
              <a:solidFill>
                <a:srgbClr val="22D3E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2"/>
            <spPr>
              <a:solidFill>
                <a:srgbClr val="F472B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3"/>
            <spPr>
              <a:solidFill>
                <a:srgbClr val="FBBF24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4"/>
            <spPr>
              <a:solidFill>
                <a:srgbClr val="34D39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5"/>
            <spPr>
              <a:solidFill>
                <a:srgbClr val="60A5F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6"/>
            <spPr>
              <a:solidFill>
                <a:srgbClr val="F87171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7"/>
            <spPr>
              <a:solidFill>
                <a:srgbClr val="A78BFA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8"/>
            <spPr>
              <a:solidFill>
                <a:srgbClr val="FB923C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9"/>
            <spPr>
              <a:solidFill>
                <a:srgbClr val="4ADE80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0"/>
            <spPr>
              <a:solidFill>
                <a:srgbClr val="E879F9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1"/>
            <spPr>
              <a:solidFill>
                <a:srgbClr val="94A3B8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2"/>
            <spPr>
              <a:solidFill>
                <a:srgbClr val="2DD4BF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3"/>
            <spPr>
              <a:solidFill>
                <a:srgbClr val="14B8A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4"/>
            <spPr>
              <a:solidFill>
                <a:srgbClr val="22D3EE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5"/>
            <spPr>
              <a:solidFill>
                <a:srgbClr val="F472B6"/>
              </a:solidFill>
              <a:ln>
                <a:solidFill>
                  <a:srgbClr val="FFFFFF"/>
                </a:solidFill>
                <a:prstDash val="solid"/>
              </a:ln>
            </spPr>
          </dPt>
          <dPt>
            <idx val="16"/>
            <spPr>
              <a:solidFill>
                <a:srgbClr val="FBBF24"/>
              </a:solidFill>
              <a:ln>
                <a:solidFill>
                  <a:srgbClr val="FFFFFF"/>
                </a:solidFill>
                <a:prstDash val="solid"/>
              </a:ln>
            </spPr>
          </dPt>
          <dLbls>
            <numFmt formatCode="&quot;$&quot;#,##0;;;" sourceLinked="0"/>
            <txPr>
              <a:bodyPr/>
              <a:p>
                <a:pPr>
                  <a:defRPr sz="900" b="0">
                    <a:solidFill>
                      <a:srgbClr val="1F2937"/>
                    </a:solidFill>
                    <a:latin typeface="Segoe UI"/>
                  </a:defRPr>
                </a:pPr>
                <a:r>
                  <a:t/>
                </a:r>
                <a:endParaRPr sz="900" b="0">
                  <a:solidFill>
                    <a:srgbClr val="1F2937"/>
                  </a:solidFill>
                  <a:latin typeface="Segoe UI"/>
                </a:endParaRPr>
              </a:p>
            </txPr>
            <showLegendKey val="0"/>
            <showVal val="1"/>
            <showCatName val="0"/>
            <showSerName val="0"/>
            <showPercent val="0"/>
          </dLbls>
          <cat>
            <numRef>
              <f>'Dashboard'!$K$30:$K$46</f>
            </numRef>
          </cat>
          <val>
            <numRef>
              <f>'Dashboard'!$L$30:$L$46</f>
            </numRef>
          </val>
        </ser>
        <gapWidth val="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0"/>
        <lblOffset val="100"/>
        <tickLblSkip val="1"/>
      </catAx>
      <valAx>
        <axId val="100"/>
        <scaling>
          <orientation val="minMax"/>
        </scaling>
        <delete val="0"/>
        <axPos val="l"/>
        <majorGridlines>
          <spPr>
            <a:ln>
              <a:solidFill>
                <a:srgbClr val="E3E6EE"/>
              </a:solidFill>
              <a:prstDash val="solid"/>
            </a:ln>
          </spPr>
        </majorGridlines>
        <numFmt formatCode="&quot;$&quot;#,##0;-&quot;$&quot;#,##0;&quot;$&quot;0" sourceLinked="0"/>
        <majorTickMark val="none"/>
        <minorTickMark val="none"/>
        <spPr>
          <a:ln>
            <a:solidFill>
              <a:srgbClr val="E3E6EE"/>
            </a:solidFill>
            <a:prstDash val="solid"/>
          </a:ln>
        </spPr>
        <txPr>
          <a:bodyPr/>
          <a:p>
            <a:pPr>
              <a:defRPr sz="900" b="0">
                <a:solidFill>
                  <a:srgbClr val="6B7280"/>
                </a:solidFill>
                <a:latin typeface="Segoe UI"/>
              </a:defRPr>
            </a:pPr>
            <a:r>
              <a:t/>
            </a:r>
            <a:endParaRPr sz="900" b="0">
              <a:solidFill>
                <a:srgbClr val="6B7280"/>
              </a:solidFill>
              <a:latin typeface="Segoe UI"/>
            </a:endParaRPr>
          </a:p>
        </txPr>
        <crossAx val="10"/>
        <crosses val="max"/>
      </valAx>
      <spPr>
        <a:noFill/>
        <a:ln>
          <a:prstDash val="solid"/>
        </a:ln>
      </spPr>
    </plotArea>
    <plotVisOnly val="1"/>
    <dispBlanksAs val="gap"/>
  </chart>
  <spPr>
    <a:solidFill>
      <a:srgbClr val="FFFFFF"/>
    </a:solidFill>
    <a:ln>
      <a:solidFill>
        <a:srgbClr val="E3E6EE"/>
      </a:solidFill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8</row>
      <rowOff>0</rowOff>
    </from>
    <ext cx="6696000" cy="3311999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8</row>
      <rowOff>0</rowOff>
    </from>
    <ext cx="5544000" cy="3311999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1" zoomScale="90" workbookViewId="0">
      <selection activeCell="A1" sqref="A1"/>
    </sheetView>
  </sheetViews>
  <sheetFormatPr baseColWidth="8" defaultRowHeight="15"/>
  <cols>
    <col width="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3" customWidth="1" min="10" max="10"/>
    <col width="22" customWidth="1" min="11" max="11"/>
    <col width="18" customWidth="1" min="12" max="12"/>
    <col width="14" customWidth="1" min="13" max="13"/>
    <col width="14" customWidth="1" min="14" max="14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2026 Business Budget</t>
        </is>
      </c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Annual Overview  |  Jan 2026 - Dec 2026  |  Payroll Semi-monthly (15th &amp; Last day)  |  Northwind Studio LLC</t>
        </is>
      </c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2" customHeight="1">
      <c r="A5" s="1" t="n"/>
      <c r="B5" s="4" t="inlineStr">
        <is>
          <t>REVENUE</t>
        </is>
      </c>
      <c r="C5" s="5" t="n"/>
      <c r="D5" s="4" t="inlineStr">
        <is>
          <t>EXPENSES</t>
        </is>
      </c>
      <c r="E5" s="5" t="n"/>
      <c r="F5" s="4" t="inlineStr">
        <is>
          <t>NET PROFIT</t>
        </is>
      </c>
      <c r="G5" s="5" t="n"/>
      <c r="H5" s="4" t="inlineStr">
        <is>
          <t>PROFIT MARGIN</t>
        </is>
      </c>
      <c r="I5" s="5" t="n"/>
      <c r="J5" s="1" t="n"/>
      <c r="K5" s="4" t="inlineStr">
        <is>
          <t>AVG MONTHLY BURN</t>
        </is>
      </c>
      <c r="L5" s="5" t="n"/>
      <c r="M5" s="4" t="inlineStr">
        <is>
          <t>PAYROLL RUNS</t>
        </is>
      </c>
      <c r="N5" s="5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 ht="36" customHeight="1">
      <c r="A6" s="1" t="n"/>
      <c r="B6" s="6">
        <f>D42</f>
        <v/>
      </c>
      <c r="C6" s="7" t="n"/>
      <c r="D6" s="6">
        <f>G42</f>
        <v/>
      </c>
      <c r="E6" s="7" t="n"/>
      <c r="F6" s="6">
        <f>H42</f>
        <v/>
      </c>
      <c r="G6" s="7" t="n"/>
      <c r="H6" s="8">
        <f>IFERROR(H42/D42,0)</f>
        <v/>
      </c>
      <c r="I6" s="7" t="n"/>
      <c r="J6" s="1" t="n"/>
      <c r="K6" s="6">
        <f>G42/12</f>
        <v/>
      </c>
      <c r="L6" s="7" t="n"/>
      <c r="M6" s="9">
        <f>C42</f>
        <v/>
      </c>
      <c r="N6" s="7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 ht="18" customHeight="1">
      <c r="A7" s="1" t="n"/>
      <c r="B7" s="10" t="inlineStr">
        <is>
          <t>earned this year</t>
        </is>
      </c>
      <c r="C7" s="11" t="n"/>
      <c r="D7" s="10" t="inlineStr">
        <is>
          <t>fixed + variable</t>
        </is>
      </c>
      <c r="E7" s="11" t="n"/>
      <c r="F7" s="10" t="inlineStr">
        <is>
          <t>revenue - expenses</t>
        </is>
      </c>
      <c r="G7" s="11" t="n"/>
      <c r="H7" s="10" t="inlineStr">
        <is>
          <t>of revenue kept</t>
        </is>
      </c>
      <c r="I7" s="11" t="n"/>
      <c r="J7" s="1" t="n"/>
      <c r="K7" s="10" t="inlineStr">
        <is>
          <t>expenses / 12</t>
        </is>
      </c>
      <c r="L7" s="11" t="n"/>
      <c r="M7" s="10" t="inlineStr">
        <is>
          <t>payroll dates this year</t>
        </is>
      </c>
      <c r="N7" s="1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1" t="n"/>
      <c r="C10" s="1" t="n"/>
      <c r="D10" s="1" t="n"/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1" t="n"/>
      <c r="C11" s="1" t="n"/>
      <c r="D11" s="1" t="n"/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1" t="n"/>
      <c r="C12" s="1" t="n"/>
      <c r="D12" s="1" t="n"/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2" t="inlineStr">
        <is>
          <t>Monthly Breakdown</t>
        </is>
      </c>
      <c r="C28" s="1" t="n"/>
      <c r="D28" s="1" t="n"/>
      <c r="E28" s="1" t="n"/>
      <c r="F28" s="1" t="n"/>
      <c r="G28" s="1" t="n"/>
      <c r="H28" s="1" t="n"/>
      <c r="I28" s="1" t="n"/>
      <c r="J28" s="1" t="n"/>
      <c r="K28" s="12" t="inlineStr">
        <is>
          <t>Expenses by Category</t>
        </is>
      </c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 ht="24" customHeight="1">
      <c r="A29" s="1" t="n"/>
      <c r="B29" s="13" t="inlineStr">
        <is>
          <t>Month</t>
        </is>
      </c>
      <c r="C29" s="13" t="inlineStr">
        <is>
          <t>Payroll Runs</t>
        </is>
      </c>
      <c r="D29" s="13" t="inlineStr">
        <is>
          <t>Revenue</t>
        </is>
      </c>
      <c r="E29" s="13" t="inlineStr">
        <is>
          <t>Fixed</t>
        </is>
      </c>
      <c r="F29" s="13" t="inlineStr">
        <is>
          <t>Variable</t>
        </is>
      </c>
      <c r="G29" s="13" t="inlineStr">
        <is>
          <t>Total Expenses</t>
        </is>
      </c>
      <c r="H29" s="13" t="inlineStr">
        <is>
          <t>Net Profit</t>
        </is>
      </c>
      <c r="I29" s="13" t="inlineStr">
        <is>
          <t>Margin</t>
        </is>
      </c>
      <c r="J29" s="1" t="n"/>
      <c r="K29" s="13" t="inlineStr">
        <is>
          <t>Category</t>
        </is>
      </c>
      <c r="L29" s="13" t="inlineStr">
        <is>
          <t>Annual</t>
        </is>
      </c>
      <c r="M29" s="13" t="inlineStr">
        <is>
          <t>Monthly Avg</t>
        </is>
      </c>
      <c r="N29" s="13" t="inlineStr">
        <is>
          <t>% of Expenses</t>
        </is>
      </c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4" t="n">
        <v>46023</v>
      </c>
      <c r="C30" s="15">
        <f>COUNTIFS('Payroll'!$D$6:$D$35,B30)</f>
        <v/>
      </c>
      <c r="D30" s="16">
        <f>'Revenue'!D21</f>
        <v/>
      </c>
      <c r="E30" s="16">
        <f>SUMIFS('Expenses'!$F$6:$F$66,'Expenses'!$D$6:$D$66,"Fixed")</f>
        <v/>
      </c>
      <c r="F30" s="16">
        <f>SUMIFS('Expenses'!$F$6:$F$66,'Expenses'!$D$6:$D$66,"Variable")</f>
        <v/>
      </c>
      <c r="G30" s="16">
        <f>E30+F30</f>
        <v/>
      </c>
      <c r="H30" s="16">
        <f>D30-G30</f>
        <v/>
      </c>
      <c r="I30" s="17">
        <f>IFERROR(H30/D30,0)</f>
        <v/>
      </c>
      <c r="J30" s="1" t="n"/>
      <c r="K30" s="18" t="inlineStr">
        <is>
          <t>Payroll</t>
        </is>
      </c>
      <c r="L30" s="16">
        <f>SUMIF('Expenses'!$C$6:$C$66,K30,'Expenses'!$R$6:$R$66)</f>
        <v/>
      </c>
      <c r="M30" s="16">
        <f>L30/12</f>
        <v/>
      </c>
      <c r="N30" s="17">
        <f>IFERROR(L30/$L$47,0)</f>
        <v/>
      </c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9" t="n">
        <v>46054</v>
      </c>
      <c r="C31" s="20">
        <f>COUNTIFS('Payroll'!$D$6:$D$35,B31)</f>
        <v/>
      </c>
      <c r="D31" s="21">
        <f>'Revenue'!E21</f>
        <v/>
      </c>
      <c r="E31" s="21">
        <f>SUMIFS('Expenses'!$G$6:$G$66,'Expenses'!$D$6:$D$66,"Fixed")</f>
        <v/>
      </c>
      <c r="F31" s="21">
        <f>SUMIFS('Expenses'!$G$6:$G$66,'Expenses'!$D$6:$D$66,"Variable")</f>
        <v/>
      </c>
      <c r="G31" s="21">
        <f>E31+F31</f>
        <v/>
      </c>
      <c r="H31" s="21">
        <f>D31-G31</f>
        <v/>
      </c>
      <c r="I31" s="22">
        <f>IFERROR(H31/D31,0)</f>
        <v/>
      </c>
      <c r="J31" s="1" t="n"/>
      <c r="K31" s="23" t="inlineStr">
        <is>
          <t>Rent &amp; Facilities</t>
        </is>
      </c>
      <c r="L31" s="21">
        <f>SUMIF('Expenses'!$C$6:$C$66,K31,'Expenses'!$R$6:$R$66)</f>
        <v/>
      </c>
      <c r="M31" s="21">
        <f>L31/12</f>
        <v/>
      </c>
      <c r="N31" s="22">
        <f>IFERROR(L31/$L$47,0)</f>
        <v/>
      </c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4" t="n">
        <v>46082</v>
      </c>
      <c r="C32" s="15">
        <f>COUNTIFS('Payroll'!$D$6:$D$35,B32)</f>
        <v/>
      </c>
      <c r="D32" s="16">
        <f>'Revenue'!F21</f>
        <v/>
      </c>
      <c r="E32" s="16">
        <f>SUMIFS('Expenses'!$H$6:$H$66,'Expenses'!$D$6:$D$66,"Fixed")</f>
        <v/>
      </c>
      <c r="F32" s="16">
        <f>SUMIFS('Expenses'!$H$6:$H$66,'Expenses'!$D$6:$D$66,"Variable")</f>
        <v/>
      </c>
      <c r="G32" s="16">
        <f>E32+F32</f>
        <v/>
      </c>
      <c r="H32" s="16">
        <f>D32-G32</f>
        <v/>
      </c>
      <c r="I32" s="17">
        <f>IFERROR(H32/D32,0)</f>
        <v/>
      </c>
      <c r="J32" s="1" t="n"/>
      <c r="K32" s="18" t="inlineStr">
        <is>
          <t>Utilities</t>
        </is>
      </c>
      <c r="L32" s="16">
        <f>SUMIF('Expenses'!$C$6:$C$66,K32,'Expenses'!$R$6:$R$66)</f>
        <v/>
      </c>
      <c r="M32" s="16">
        <f>L32/12</f>
        <v/>
      </c>
      <c r="N32" s="17">
        <f>IFERROR(L32/$L$47,0)</f>
        <v/>
      </c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9" t="n">
        <v>46113</v>
      </c>
      <c r="C33" s="20">
        <f>COUNTIFS('Payroll'!$D$6:$D$35,B33)</f>
        <v/>
      </c>
      <c r="D33" s="21">
        <f>'Revenue'!G21</f>
        <v/>
      </c>
      <c r="E33" s="21">
        <f>SUMIFS('Expenses'!$I$6:$I$66,'Expenses'!$D$6:$D$66,"Fixed")</f>
        <v/>
      </c>
      <c r="F33" s="21">
        <f>SUMIFS('Expenses'!$I$6:$I$66,'Expenses'!$D$6:$D$66,"Variable")</f>
        <v/>
      </c>
      <c r="G33" s="21">
        <f>E33+F33</f>
        <v/>
      </c>
      <c r="H33" s="21">
        <f>D33-G33</f>
        <v/>
      </c>
      <c r="I33" s="22">
        <f>IFERROR(H33/D33,0)</f>
        <v/>
      </c>
      <c r="J33" s="1" t="n"/>
      <c r="K33" s="23" t="inlineStr">
        <is>
          <t>Software &amp; Subscriptions</t>
        </is>
      </c>
      <c r="L33" s="21">
        <f>SUMIF('Expenses'!$C$6:$C$66,K33,'Expenses'!$R$6:$R$66)</f>
        <v/>
      </c>
      <c r="M33" s="21">
        <f>L33/12</f>
        <v/>
      </c>
      <c r="N33" s="22">
        <f>IFERROR(L33/$L$47,0)</f>
        <v/>
      </c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4" t="n">
        <v>46143</v>
      </c>
      <c r="C34" s="15">
        <f>COUNTIFS('Payroll'!$D$6:$D$35,B34)</f>
        <v/>
      </c>
      <c r="D34" s="16">
        <f>'Revenue'!H21</f>
        <v/>
      </c>
      <c r="E34" s="16">
        <f>SUMIFS('Expenses'!$J$6:$J$66,'Expenses'!$D$6:$D$66,"Fixed")</f>
        <v/>
      </c>
      <c r="F34" s="16">
        <f>SUMIFS('Expenses'!$J$6:$J$66,'Expenses'!$D$6:$D$66,"Variable")</f>
        <v/>
      </c>
      <c r="G34" s="16">
        <f>E34+F34</f>
        <v/>
      </c>
      <c r="H34" s="16">
        <f>D34-G34</f>
        <v/>
      </c>
      <c r="I34" s="17">
        <f>IFERROR(H34/D34,0)</f>
        <v/>
      </c>
      <c r="J34" s="1" t="n"/>
      <c r="K34" s="18" t="inlineStr">
        <is>
          <t>Marketing &amp; Advertising</t>
        </is>
      </c>
      <c r="L34" s="16">
        <f>SUMIF('Expenses'!$C$6:$C$66,K34,'Expenses'!$R$6:$R$66)</f>
        <v/>
      </c>
      <c r="M34" s="16">
        <f>L34/12</f>
        <v/>
      </c>
      <c r="N34" s="17">
        <f>IFERROR(L34/$L$47,0)</f>
        <v/>
      </c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9" t="n">
        <v>46174</v>
      </c>
      <c r="C35" s="20">
        <f>COUNTIFS('Payroll'!$D$6:$D$35,B35)</f>
        <v/>
      </c>
      <c r="D35" s="21">
        <f>'Revenue'!I21</f>
        <v/>
      </c>
      <c r="E35" s="21">
        <f>SUMIFS('Expenses'!$K$6:$K$66,'Expenses'!$D$6:$D$66,"Fixed")</f>
        <v/>
      </c>
      <c r="F35" s="21">
        <f>SUMIFS('Expenses'!$K$6:$K$66,'Expenses'!$D$6:$D$66,"Variable")</f>
        <v/>
      </c>
      <c r="G35" s="21">
        <f>E35+F35</f>
        <v/>
      </c>
      <c r="H35" s="21">
        <f>D35-G35</f>
        <v/>
      </c>
      <c r="I35" s="22">
        <f>IFERROR(H35/D35,0)</f>
        <v/>
      </c>
      <c r="J35" s="1" t="n"/>
      <c r="K35" s="23" t="inlineStr">
        <is>
          <t>Inventory / COGS</t>
        </is>
      </c>
      <c r="L35" s="21">
        <f>SUMIF('Expenses'!$C$6:$C$66,K35,'Expenses'!$R$6:$R$66)</f>
        <v/>
      </c>
      <c r="M35" s="21">
        <f>L35/12</f>
        <v/>
      </c>
      <c r="N35" s="22">
        <f>IFERROR(L35/$L$47,0)</f>
        <v/>
      </c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4" t="n">
        <v>46204</v>
      </c>
      <c r="C36" s="15">
        <f>COUNTIFS('Payroll'!$D$6:$D$35,B36)</f>
        <v/>
      </c>
      <c r="D36" s="16">
        <f>'Revenue'!J21</f>
        <v/>
      </c>
      <c r="E36" s="16">
        <f>SUMIFS('Expenses'!$L$6:$L$66,'Expenses'!$D$6:$D$66,"Fixed")</f>
        <v/>
      </c>
      <c r="F36" s="16">
        <f>SUMIFS('Expenses'!$L$6:$L$66,'Expenses'!$D$6:$D$66,"Variable")</f>
        <v/>
      </c>
      <c r="G36" s="16">
        <f>E36+F36</f>
        <v/>
      </c>
      <c r="H36" s="16">
        <f>D36-G36</f>
        <v/>
      </c>
      <c r="I36" s="17">
        <f>IFERROR(H36/D36,0)</f>
        <v/>
      </c>
      <c r="J36" s="1" t="n"/>
      <c r="K36" s="18" t="inlineStr">
        <is>
          <t>Contractors</t>
        </is>
      </c>
      <c r="L36" s="16">
        <f>SUMIF('Expenses'!$C$6:$C$66,K36,'Expenses'!$R$6:$R$66)</f>
        <v/>
      </c>
      <c r="M36" s="16">
        <f>L36/12</f>
        <v/>
      </c>
      <c r="N36" s="17">
        <f>IFERROR(L36/$L$47,0)</f>
        <v/>
      </c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9" t="n">
        <v>46235</v>
      </c>
      <c r="C37" s="20">
        <f>COUNTIFS('Payroll'!$D$6:$D$35,B37)</f>
        <v/>
      </c>
      <c r="D37" s="21">
        <f>'Revenue'!K21</f>
        <v/>
      </c>
      <c r="E37" s="21">
        <f>SUMIFS('Expenses'!$M$6:$M$66,'Expenses'!$D$6:$D$66,"Fixed")</f>
        <v/>
      </c>
      <c r="F37" s="21">
        <f>SUMIFS('Expenses'!$M$6:$M$66,'Expenses'!$D$6:$D$66,"Variable")</f>
        <v/>
      </c>
      <c r="G37" s="21">
        <f>E37+F37</f>
        <v/>
      </c>
      <c r="H37" s="21">
        <f>D37-G37</f>
        <v/>
      </c>
      <c r="I37" s="22">
        <f>IFERROR(H37/D37,0)</f>
        <v/>
      </c>
      <c r="J37" s="1" t="n"/>
      <c r="K37" s="23" t="inlineStr">
        <is>
          <t>Supplies</t>
        </is>
      </c>
      <c r="L37" s="21">
        <f>SUMIF('Expenses'!$C$6:$C$66,K37,'Expenses'!$R$6:$R$66)</f>
        <v/>
      </c>
      <c r="M37" s="21">
        <f>L37/12</f>
        <v/>
      </c>
      <c r="N37" s="22">
        <f>IFERROR(L37/$L$47,0)</f>
        <v/>
      </c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4" t="n">
        <v>46266</v>
      </c>
      <c r="C38" s="15">
        <f>COUNTIFS('Payroll'!$D$6:$D$35,B38)</f>
        <v/>
      </c>
      <c r="D38" s="16">
        <f>'Revenue'!L21</f>
        <v/>
      </c>
      <c r="E38" s="16">
        <f>SUMIFS('Expenses'!$N$6:$N$66,'Expenses'!$D$6:$D$66,"Fixed")</f>
        <v/>
      </c>
      <c r="F38" s="16">
        <f>SUMIFS('Expenses'!$N$6:$N$66,'Expenses'!$D$6:$D$66,"Variable")</f>
        <v/>
      </c>
      <c r="G38" s="16">
        <f>E38+F38</f>
        <v/>
      </c>
      <c r="H38" s="16">
        <f>D38-G38</f>
        <v/>
      </c>
      <c r="I38" s="17">
        <f>IFERROR(H38/D38,0)</f>
        <v/>
      </c>
      <c r="J38" s="1" t="n"/>
      <c r="K38" s="18" t="inlineStr">
        <is>
          <t>Insurance</t>
        </is>
      </c>
      <c r="L38" s="16">
        <f>SUMIF('Expenses'!$C$6:$C$66,K38,'Expenses'!$R$6:$R$66)</f>
        <v/>
      </c>
      <c r="M38" s="16">
        <f>L38/12</f>
        <v/>
      </c>
      <c r="N38" s="17">
        <f>IFERROR(L38/$L$47,0)</f>
        <v/>
      </c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9" t="n">
        <v>46296</v>
      </c>
      <c r="C39" s="20">
        <f>COUNTIFS('Payroll'!$D$6:$D$35,B39)</f>
        <v/>
      </c>
      <c r="D39" s="21">
        <f>'Revenue'!M21</f>
        <v/>
      </c>
      <c r="E39" s="21">
        <f>SUMIFS('Expenses'!$O$6:$O$66,'Expenses'!$D$6:$D$66,"Fixed")</f>
        <v/>
      </c>
      <c r="F39" s="21">
        <f>SUMIFS('Expenses'!$O$6:$O$66,'Expenses'!$D$6:$D$66,"Variable")</f>
        <v/>
      </c>
      <c r="G39" s="21">
        <f>E39+F39</f>
        <v/>
      </c>
      <c r="H39" s="21">
        <f>D39-G39</f>
        <v/>
      </c>
      <c r="I39" s="22">
        <f>IFERROR(H39/D39,0)</f>
        <v/>
      </c>
      <c r="J39" s="1" t="n"/>
      <c r="K39" s="23" t="inlineStr">
        <is>
          <t>Professional Fees</t>
        </is>
      </c>
      <c r="L39" s="21">
        <f>SUMIF('Expenses'!$C$6:$C$66,K39,'Expenses'!$R$6:$R$66)</f>
        <v/>
      </c>
      <c r="M39" s="21">
        <f>L39/12</f>
        <v/>
      </c>
      <c r="N39" s="22">
        <f>IFERROR(L39/$L$47,0)</f>
        <v/>
      </c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4" t="n">
        <v>46327</v>
      </c>
      <c r="C40" s="15">
        <f>COUNTIFS('Payroll'!$D$6:$D$35,B40)</f>
        <v/>
      </c>
      <c r="D40" s="16">
        <f>'Revenue'!N21</f>
        <v/>
      </c>
      <c r="E40" s="16">
        <f>SUMIFS('Expenses'!$P$6:$P$66,'Expenses'!$D$6:$D$66,"Fixed")</f>
        <v/>
      </c>
      <c r="F40" s="16">
        <f>SUMIFS('Expenses'!$P$6:$P$66,'Expenses'!$D$6:$D$66,"Variable")</f>
        <v/>
      </c>
      <c r="G40" s="16">
        <f>E40+F40</f>
        <v/>
      </c>
      <c r="H40" s="16">
        <f>D40-G40</f>
        <v/>
      </c>
      <c r="I40" s="17">
        <f>IFERROR(H40/D40,0)</f>
        <v/>
      </c>
      <c r="J40" s="1" t="n"/>
      <c r="K40" s="18" t="inlineStr">
        <is>
          <t>Travel &amp; Meals</t>
        </is>
      </c>
      <c r="L40" s="16">
        <f>SUMIF('Expenses'!$C$6:$C$66,K40,'Expenses'!$R$6:$R$66)</f>
        <v/>
      </c>
      <c r="M40" s="16">
        <f>L40/12</f>
        <v/>
      </c>
      <c r="N40" s="17">
        <f>IFERROR(L40/$L$47,0)</f>
        <v/>
      </c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9" t="n">
        <v>46357</v>
      </c>
      <c r="C41" s="20">
        <f>COUNTIFS('Payroll'!$D$6:$D$35,B41)</f>
        <v/>
      </c>
      <c r="D41" s="21">
        <f>'Revenue'!O21</f>
        <v/>
      </c>
      <c r="E41" s="21">
        <f>SUMIFS('Expenses'!$Q$6:$Q$66,'Expenses'!$D$6:$D$66,"Fixed")</f>
        <v/>
      </c>
      <c r="F41" s="21">
        <f>SUMIFS('Expenses'!$Q$6:$Q$66,'Expenses'!$D$6:$D$66,"Variable")</f>
        <v/>
      </c>
      <c r="G41" s="21">
        <f>E41+F41</f>
        <v/>
      </c>
      <c r="H41" s="21">
        <f>D41-G41</f>
        <v/>
      </c>
      <c r="I41" s="22">
        <f>IFERROR(H41/D41,0)</f>
        <v/>
      </c>
      <c r="J41" s="1" t="n"/>
      <c r="K41" s="23" t="inlineStr">
        <is>
          <t>Equipment</t>
        </is>
      </c>
      <c r="L41" s="21">
        <f>SUMIF('Expenses'!$C$6:$C$66,K41,'Expenses'!$R$6:$R$66)</f>
        <v/>
      </c>
      <c r="M41" s="21">
        <f>L41/12</f>
        <v/>
      </c>
      <c r="N41" s="22">
        <f>IFERROR(L41/$L$47,0)</f>
        <v/>
      </c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24" t="inlineStr">
        <is>
          <t>TOTAL</t>
        </is>
      </c>
      <c r="C42" s="25">
        <f>SUM(C30:C41)</f>
        <v/>
      </c>
      <c r="D42" s="26">
        <f>SUM(D30:D41)</f>
        <v/>
      </c>
      <c r="E42" s="26">
        <f>SUM(E30:E41)</f>
        <v/>
      </c>
      <c r="F42" s="26">
        <f>SUM(F30:F41)</f>
        <v/>
      </c>
      <c r="G42" s="26">
        <f>SUM(G30:G41)</f>
        <v/>
      </c>
      <c r="H42" s="26">
        <f>SUM(H30:H41)</f>
        <v/>
      </c>
      <c r="I42" s="27">
        <f>IFERROR(H42/D42,0)</f>
        <v/>
      </c>
      <c r="J42" s="1" t="n"/>
      <c r="K42" s="18" t="inlineStr">
        <is>
          <t>Taxes &amp; Licenses</t>
        </is>
      </c>
      <c r="L42" s="16">
        <f>SUMIF('Expenses'!$C$6:$C$66,K42,'Expenses'!$R$6:$R$66)</f>
        <v/>
      </c>
      <c r="M42" s="16">
        <f>L42/12</f>
        <v/>
      </c>
      <c r="N42" s="17">
        <f>IFERROR(L42/$L$47,0)</f>
        <v/>
      </c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23" t="inlineStr">
        <is>
          <t>Bank &amp; Merchant Fees</t>
        </is>
      </c>
      <c r="L43" s="21">
        <f>SUMIF('Expenses'!$C$6:$C$66,K43,'Expenses'!$R$6:$R$66)</f>
        <v/>
      </c>
      <c r="M43" s="21">
        <f>L43/12</f>
        <v/>
      </c>
      <c r="N43" s="22">
        <f>IFERROR(L43/$L$47,0)</f>
        <v/>
      </c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8" t="inlineStr">
        <is>
          <t>Loan Payments</t>
        </is>
      </c>
      <c r="L44" s="16">
        <f>SUMIF('Expenses'!$C$6:$C$66,K44,'Expenses'!$R$6:$R$66)</f>
        <v/>
      </c>
      <c r="M44" s="16">
        <f>L44/12</f>
        <v/>
      </c>
      <c r="N44" s="17">
        <f>IFERROR(L44/$L$47,0)</f>
        <v/>
      </c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23" t="inlineStr">
        <is>
          <t>Owner Pay</t>
        </is>
      </c>
      <c r="L45" s="21">
        <f>SUMIF('Expenses'!$C$6:$C$66,K45,'Expenses'!$R$6:$R$66)</f>
        <v/>
      </c>
      <c r="M45" s="21">
        <f>L45/12</f>
        <v/>
      </c>
      <c r="N45" s="22">
        <f>IFERROR(L45/$L$47,0)</f>
        <v/>
      </c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8" t="inlineStr">
        <is>
          <t>Other</t>
        </is>
      </c>
      <c r="L46" s="16">
        <f>SUMIF('Expenses'!$C$6:$C$66,K46,'Expenses'!$R$6:$R$66)</f>
        <v/>
      </c>
      <c r="M46" s="16">
        <f>L46/12</f>
        <v/>
      </c>
      <c r="N46" s="17">
        <f>IFERROR(L46/$L$47,0)</f>
        <v/>
      </c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24" t="inlineStr">
        <is>
          <t>TOTAL</t>
        </is>
      </c>
      <c r="L47" s="28">
        <f>SUM(L30:L46)</f>
        <v/>
      </c>
      <c r="M47" s="28">
        <f>SUM(M30:M46)</f>
        <v/>
      </c>
      <c r="N47" s="29">
        <f>IF(L47&gt;0,1,0)</f>
        <v/>
      </c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2" t="inlineStr">
        <is>
          <t>Reserve Goals</t>
        </is>
      </c>
      <c r="C50" s="1" t="n"/>
      <c r="D50" s="1" t="n"/>
      <c r="E50" s="1" t="n"/>
      <c r="F50" s="1" t="n"/>
      <c r="G50" s="1" t="n"/>
      <c r="H50" s="12" t="inlineStr">
        <is>
          <t>Loans &amp; Credit</t>
        </is>
      </c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 ht="22" customHeight="1">
      <c r="A51" s="1" t="n"/>
      <c r="B51" s="4" t="inlineStr">
        <is>
          <t>TOTAL TARGET</t>
        </is>
      </c>
      <c r="C51" s="5" t="n"/>
      <c r="D51" s="4" t="inlineStr">
        <is>
          <t>SAVED SO FAR</t>
        </is>
      </c>
      <c r="E51" s="5" t="n"/>
      <c r="F51" s="4" t="inlineStr">
        <is>
          <t>PROGRESS</t>
        </is>
      </c>
      <c r="G51" s="5" t="n"/>
      <c r="H51" s="4" t="inlineStr">
        <is>
          <t>TOTAL OWED</t>
        </is>
      </c>
      <c r="I51" s="5" t="n"/>
      <c r="J51" s="1" t="n"/>
      <c r="K51" s="4" t="inlineStr">
        <is>
          <t>MIN PAYMENTS</t>
        </is>
      </c>
      <c r="L51" s="5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 ht="32.4" customHeight="1">
      <c r="A52" s="1" t="n"/>
      <c r="B52" s="30">
        <f>'Reserve Goals'!C16</f>
        <v/>
      </c>
      <c r="C52" s="7" t="n"/>
      <c r="D52" s="30">
        <f>'Reserve Goals'!D16</f>
        <v/>
      </c>
      <c r="E52" s="7" t="n"/>
      <c r="F52" s="31">
        <f>IFERROR('Reserve Goals'!D16/'Reserve Goals'!C16,0)</f>
        <v/>
      </c>
      <c r="G52" s="7" t="n"/>
      <c r="H52" s="30">
        <f>'Loans &amp; Credit'!C16</f>
        <v/>
      </c>
      <c r="I52" s="7" t="n"/>
      <c r="J52" s="1" t="n"/>
      <c r="K52" s="30">
        <f>'Loans &amp; Credit'!E16</f>
        <v/>
      </c>
      <c r="L52" s="7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 ht="18" customHeight="1">
      <c r="A53" s="1" t="n"/>
      <c r="B53" s="10" t="inlineStr">
        <is>
          <t>across all goals</t>
        </is>
      </c>
      <c r="C53" s="11" t="n"/>
      <c r="D53" s="10" t="inlineStr">
        <is>
          <t>toward your goals</t>
        </is>
      </c>
      <c r="E53" s="11" t="n"/>
      <c r="F53" s="10" t="inlineStr">
        <is>
          <t>of total target</t>
        </is>
      </c>
      <c r="G53" s="11" t="n"/>
      <c r="H53" s="10" t="inlineStr">
        <is>
          <t>current balances</t>
        </is>
      </c>
      <c r="I53" s="11" t="n"/>
      <c r="J53" s="1" t="n"/>
      <c r="K53" s="10" t="inlineStr">
        <is>
          <t>per month</t>
        </is>
      </c>
      <c r="L53" s="1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35">
    <mergeCell ref="H53:I53"/>
    <mergeCell ref="B7:C7"/>
    <mergeCell ref="K5:L5"/>
    <mergeCell ref="F6:G6"/>
    <mergeCell ref="M5:N5"/>
    <mergeCell ref="F7:G7"/>
    <mergeCell ref="D6:E6"/>
    <mergeCell ref="B52:C52"/>
    <mergeCell ref="K51:L51"/>
    <mergeCell ref="D52:E52"/>
    <mergeCell ref="H6:I6"/>
    <mergeCell ref="F5:G5"/>
    <mergeCell ref="F51:G51"/>
    <mergeCell ref="H51:I51"/>
    <mergeCell ref="B3:N3"/>
    <mergeCell ref="H52:I52"/>
    <mergeCell ref="B53:C53"/>
    <mergeCell ref="D53:E53"/>
    <mergeCell ref="M7:N7"/>
    <mergeCell ref="K52:L52"/>
    <mergeCell ref="D7:E7"/>
    <mergeCell ref="M6:N6"/>
    <mergeCell ref="H7:I7"/>
    <mergeCell ref="B2:N2"/>
    <mergeCell ref="F52:G52"/>
    <mergeCell ref="B6:C6"/>
    <mergeCell ref="K7:L7"/>
    <mergeCell ref="K53:L53"/>
    <mergeCell ref="B5:C5"/>
    <mergeCell ref="B51:C51"/>
    <mergeCell ref="D5:E5"/>
    <mergeCell ref="D51:E51"/>
    <mergeCell ref="H5:I5"/>
    <mergeCell ref="K6:L6"/>
    <mergeCell ref="F53:G53"/>
  </mergeCells>
  <conditionalFormatting sqref="H30:H42">
    <cfRule type="cellIs" priority="1" operator="lessThan" dxfId="0">
      <formula>0</formula>
    </cfRule>
    <cfRule type="cellIs" priority="2" operator="greaterThanOrEqual" dxfId="1">
      <formula>0</formula>
    </cfRule>
  </conditionalFormatting>
  <conditionalFormatting sqref="B30:C41">
    <cfRule type="expression" priority="3" dxfId="2">
      <formula>$C30&gt;MIN($C$30:$C$41)</formula>
    </cfRule>
  </conditionalFormatting>
  <conditionalFormatting sqref="L30:L46">
    <cfRule type="dataBar" priority="4">
      <dataBar minLength="0" maxLength="30">
        <cfvo type="num" val="0"/>
        <cfvo type="max"/>
        <color rgb="0014B8A6"/>
      </dataBar>
    </cfRule>
  </conditionalFormatting>
  <conditionalFormatting sqref="F6">
    <cfRule type="cellIs" priority="5" operator="lessThan" dxfId="3">
      <formula>0</formula>
    </cfRule>
    <cfRule type="cellIs" priority="6" operator="greaterThanOrEqual" dxfId="4">
      <formula>0</formula>
    </cfRule>
  </conditionalFormatting>
  <conditionalFormatting sqref="H6">
    <cfRule type="cellIs" priority="7" operator="lessThan" dxfId="3">
      <formula>0</formula>
    </cfRule>
    <cfRule type="cellIs" priority="8" operator="greaterThanOrEqual" dxfId="4">
      <formula>0</formula>
    </cfRule>
  </conditionalFormatting>
  <pageMargins left="0.75" right="0.75" top="1" bottom="1" header="0.5" footer="0.5"/>
  <pageSetup orientation="landscape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2" customWidth="1" min="2" max="2"/>
    <col width="18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5" customWidth="1" min="16" max="1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Revenue</t>
        </is>
      </c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Enter expected revenue per month for each stream. Pick a Category from the dropdown.</t>
        </is>
      </c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Source</t>
        </is>
      </c>
      <c r="C5" s="13" t="inlineStr">
        <is>
          <t>Category</t>
        </is>
      </c>
      <c r="D5" s="32" t="n">
        <v>46023</v>
      </c>
      <c r="E5" s="32" t="n">
        <v>46054</v>
      </c>
      <c r="F5" s="32" t="n">
        <v>46082</v>
      </c>
      <c r="G5" s="32" t="n">
        <v>46113</v>
      </c>
      <c r="H5" s="32" t="n">
        <v>46143</v>
      </c>
      <c r="I5" s="32" t="n">
        <v>46174</v>
      </c>
      <c r="J5" s="32" t="n">
        <v>46204</v>
      </c>
      <c r="K5" s="32" t="n">
        <v>46235</v>
      </c>
      <c r="L5" s="32" t="n">
        <v>46266</v>
      </c>
      <c r="M5" s="32" t="n">
        <v>46296</v>
      </c>
      <c r="N5" s="32" t="n">
        <v>46327</v>
      </c>
      <c r="O5" s="32" t="n">
        <v>46357</v>
      </c>
      <c r="P5" s="13" t="inlineStr">
        <is>
          <t>Annual Total</t>
        </is>
      </c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3" t="inlineStr">
        <is>
          <t>Client retainers</t>
        </is>
      </c>
      <c r="C6" s="33" t="inlineStr">
        <is>
          <t>Recurring / Subscriptions</t>
        </is>
      </c>
      <c r="D6" s="34" t="n">
        <v>14000</v>
      </c>
      <c r="E6" s="34" t="n">
        <v>14000</v>
      </c>
      <c r="F6" s="34" t="n">
        <v>14000</v>
      </c>
      <c r="G6" s="34" t="n">
        <v>14000</v>
      </c>
      <c r="H6" s="34" t="n">
        <v>14000</v>
      </c>
      <c r="I6" s="34" t="n">
        <v>14000</v>
      </c>
      <c r="J6" s="34" t="n">
        <v>14000</v>
      </c>
      <c r="K6" s="34" t="n">
        <v>14000</v>
      </c>
      <c r="L6" s="34" t="n">
        <v>14000</v>
      </c>
      <c r="M6" s="34" t="n">
        <v>14000</v>
      </c>
      <c r="N6" s="34" t="n">
        <v>14000</v>
      </c>
      <c r="O6" s="34" t="n">
        <v>14000</v>
      </c>
      <c r="P6" s="35">
        <f>IF(COUNT(D6:O6)=0,"",SUM(D6:O6))</f>
        <v/>
      </c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Project work</t>
        </is>
      </c>
      <c r="C7" s="36" t="inlineStr">
        <is>
          <t>Services</t>
        </is>
      </c>
      <c r="D7" s="37" t="n">
        <v>6000</v>
      </c>
      <c r="E7" s="37" t="n">
        <v>5000</v>
      </c>
      <c r="F7" s="37" t="n">
        <v>9000</v>
      </c>
      <c r="G7" s="37" t="n">
        <v>8000</v>
      </c>
      <c r="H7" s="37" t="n">
        <v>7000</v>
      </c>
      <c r="I7" s="37" t="n">
        <v>12000</v>
      </c>
      <c r="J7" s="37" t="n">
        <v>6000</v>
      </c>
      <c r="K7" s="37" t="n">
        <v>5000</v>
      </c>
      <c r="L7" s="37" t="n">
        <v>9000</v>
      </c>
      <c r="M7" s="37" t="n">
        <v>11000</v>
      </c>
      <c r="N7" s="37" t="n">
        <v>14000</v>
      </c>
      <c r="O7" s="37" t="n">
        <v>8000</v>
      </c>
      <c r="P7" s="35">
        <f>IF(COUNT(D7:O7)=0,"",SUM(D7:O7))</f>
        <v/>
      </c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3" t="inlineStr">
        <is>
          <t>Template shop</t>
        </is>
      </c>
      <c r="C8" s="33" t="inlineStr">
        <is>
          <t>Product Sales</t>
        </is>
      </c>
      <c r="D8" s="34" t="n">
        <v>1200</v>
      </c>
      <c r="E8" s="34" t="n">
        <v>1200</v>
      </c>
      <c r="F8" s="34" t="n">
        <v>1200</v>
      </c>
      <c r="G8" s="34" t="n">
        <v>1200</v>
      </c>
      <c r="H8" s="34" t="n">
        <v>1200</v>
      </c>
      <c r="I8" s="34" t="n">
        <v>1200</v>
      </c>
      <c r="J8" s="34" t="n">
        <v>1200</v>
      </c>
      <c r="K8" s="34" t="n">
        <v>1200</v>
      </c>
      <c r="L8" s="34" t="n">
        <v>1200</v>
      </c>
      <c r="M8" s="34" t="n">
        <v>1200</v>
      </c>
      <c r="N8" s="34" t="n">
        <v>1200</v>
      </c>
      <c r="O8" s="34" t="n">
        <v>1200</v>
      </c>
      <c r="P8" s="35">
        <f>IF(COUNT(D8:O8)=0,"",SUM(D8:O8))</f>
        <v/>
      </c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n"/>
      <c r="C9" s="36" t="n"/>
      <c r="D9" s="37" t="n"/>
      <c r="E9" s="37" t="n"/>
      <c r="F9" s="37" t="n"/>
      <c r="G9" s="37" t="n"/>
      <c r="H9" s="37" t="n"/>
      <c r="I9" s="37" t="n"/>
      <c r="J9" s="37" t="n"/>
      <c r="K9" s="37" t="n"/>
      <c r="L9" s="37" t="n"/>
      <c r="M9" s="37" t="n"/>
      <c r="N9" s="37" t="n"/>
      <c r="O9" s="37" t="n"/>
      <c r="P9" s="35">
        <f>IF(COUNT(D9:O9)=0,"",SUM(D9:O9))</f>
        <v/>
      </c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3" t="n"/>
      <c r="C10" s="33" t="n"/>
      <c r="D10" s="34" t="n"/>
      <c r="E10" s="34" t="n"/>
      <c r="F10" s="34" t="n"/>
      <c r="G10" s="34" t="n"/>
      <c r="H10" s="34" t="n"/>
      <c r="I10" s="34" t="n"/>
      <c r="J10" s="34" t="n"/>
      <c r="K10" s="34" t="n"/>
      <c r="L10" s="34" t="n"/>
      <c r="M10" s="34" t="n"/>
      <c r="N10" s="34" t="n"/>
      <c r="O10" s="34" t="n"/>
      <c r="P10" s="35">
        <f>IF(COUNT(D10:O10)=0,"",SUM(D10:O10))</f>
        <v/>
      </c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n"/>
      <c r="C11" s="36" t="n"/>
      <c r="D11" s="37" t="n"/>
      <c r="E11" s="37" t="n"/>
      <c r="F11" s="37" t="n"/>
      <c r="G11" s="37" t="n"/>
      <c r="H11" s="37" t="n"/>
      <c r="I11" s="37" t="n"/>
      <c r="J11" s="37" t="n"/>
      <c r="K11" s="37" t="n"/>
      <c r="L11" s="37" t="n"/>
      <c r="M11" s="37" t="n"/>
      <c r="N11" s="37" t="n"/>
      <c r="O11" s="37" t="n"/>
      <c r="P11" s="35">
        <f>IF(COUNT(D11:O11)=0,"",SUM(D11:O11))</f>
        <v/>
      </c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3" t="n"/>
      <c r="C12" s="33" t="n"/>
      <c r="D12" s="34" t="n"/>
      <c r="E12" s="34" t="n"/>
      <c r="F12" s="34" t="n"/>
      <c r="G12" s="34" t="n"/>
      <c r="H12" s="34" t="n"/>
      <c r="I12" s="34" t="n"/>
      <c r="J12" s="34" t="n"/>
      <c r="K12" s="34" t="n"/>
      <c r="L12" s="34" t="n"/>
      <c r="M12" s="34" t="n"/>
      <c r="N12" s="34" t="n"/>
      <c r="O12" s="34" t="n"/>
      <c r="P12" s="35">
        <f>IF(COUNT(D12:O12)=0,"",SUM(D12:O12))</f>
        <v/>
      </c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n"/>
      <c r="C13" s="36" t="n"/>
      <c r="D13" s="37" t="n"/>
      <c r="E13" s="37" t="n"/>
      <c r="F13" s="37" t="n"/>
      <c r="G13" s="37" t="n"/>
      <c r="H13" s="37" t="n"/>
      <c r="I13" s="37" t="n"/>
      <c r="J13" s="37" t="n"/>
      <c r="K13" s="37" t="n"/>
      <c r="L13" s="37" t="n"/>
      <c r="M13" s="37" t="n"/>
      <c r="N13" s="37" t="n"/>
      <c r="O13" s="37" t="n"/>
      <c r="P13" s="35">
        <f>IF(COUNT(D13:O13)=0,"",SUM(D13:O13))</f>
        <v/>
      </c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3" t="n"/>
      <c r="C14" s="33" t="n"/>
      <c r="D14" s="34" t="n"/>
      <c r="E14" s="34" t="n"/>
      <c r="F14" s="34" t="n"/>
      <c r="G14" s="34" t="n"/>
      <c r="H14" s="34" t="n"/>
      <c r="I14" s="34" t="n"/>
      <c r="J14" s="34" t="n"/>
      <c r="K14" s="34" t="n"/>
      <c r="L14" s="34" t="n"/>
      <c r="M14" s="34" t="n"/>
      <c r="N14" s="34" t="n"/>
      <c r="O14" s="34" t="n"/>
      <c r="P14" s="35">
        <f>IF(COUNT(D14:O14)=0,"",SUM(D14:O14))</f>
        <v/>
      </c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n"/>
      <c r="C15" s="36" t="n"/>
      <c r="D15" s="37" t="n"/>
      <c r="E15" s="37" t="n"/>
      <c r="F15" s="37" t="n"/>
      <c r="G15" s="37" t="n"/>
      <c r="H15" s="37" t="n"/>
      <c r="I15" s="37" t="n"/>
      <c r="J15" s="37" t="n"/>
      <c r="K15" s="37" t="n"/>
      <c r="L15" s="37" t="n"/>
      <c r="M15" s="37" t="n"/>
      <c r="N15" s="37" t="n"/>
      <c r="O15" s="37" t="n"/>
      <c r="P15" s="35">
        <f>IF(COUNT(D15:O15)=0,"",SUM(D15:O15))</f>
        <v/>
      </c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3" t="n"/>
      <c r="C16" s="33" t="n"/>
      <c r="D16" s="34" t="n"/>
      <c r="E16" s="34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5">
        <f>IF(COUNT(D16:O16)=0,"",SUM(D16:O16))</f>
        <v/>
      </c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6" t="n"/>
      <c r="C17" s="36" t="n"/>
      <c r="D17" s="37" t="n"/>
      <c r="E17" s="37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5">
        <f>IF(COUNT(D17:O17)=0,"",SUM(D17:O17))</f>
        <v/>
      </c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3" t="n"/>
      <c r="C18" s="33" t="n"/>
      <c r="D18" s="34" t="n"/>
      <c r="E18" s="34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5">
        <f>IF(COUNT(D18:O18)=0,"",SUM(D18:O18))</f>
        <v/>
      </c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6" t="n"/>
      <c r="C19" s="36" t="n"/>
      <c r="D19" s="37" t="n"/>
      <c r="E19" s="37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5">
        <f>IF(COUNT(D19:O19)=0,"",SUM(D19:O19))</f>
        <v/>
      </c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3" t="n"/>
      <c r="C20" s="33" t="n"/>
      <c r="D20" s="34" t="n"/>
      <c r="E20" s="34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5">
        <f>IF(COUNT(D20:O20)=0,"",SUM(D20:O20))</f>
        <v/>
      </c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 ht="22" customHeight="1">
      <c r="A21" s="1" t="n"/>
      <c r="B21" s="24" t="inlineStr">
        <is>
          <t>TOTAL REVENUE</t>
        </is>
      </c>
      <c r="C21" s="24" t="n"/>
      <c r="D21" s="28">
        <f>SUM(D6:D20)</f>
        <v/>
      </c>
      <c r="E21" s="28">
        <f>SUM(E6:E20)</f>
        <v/>
      </c>
      <c r="F21" s="28">
        <f>SUM(F6:F20)</f>
        <v/>
      </c>
      <c r="G21" s="28">
        <f>SUM(G6:G20)</f>
        <v/>
      </c>
      <c r="H21" s="28">
        <f>SUM(H6:H20)</f>
        <v/>
      </c>
      <c r="I21" s="28">
        <f>SUM(I6:I20)</f>
        <v/>
      </c>
      <c r="J21" s="28">
        <f>SUM(J6:J20)</f>
        <v/>
      </c>
      <c r="K21" s="28">
        <f>SUM(K6:K20)</f>
        <v/>
      </c>
      <c r="L21" s="28">
        <f>SUM(L6:L20)</f>
        <v/>
      </c>
      <c r="M21" s="28">
        <f>SUM(M6:M20)</f>
        <v/>
      </c>
      <c r="N21" s="28">
        <f>SUM(N6:N20)</f>
        <v/>
      </c>
      <c r="O21" s="28">
        <f>SUM(O6:O20)</f>
        <v/>
      </c>
      <c r="P21" s="28">
        <f>SUM(P6:P20)</f>
        <v/>
      </c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P3"/>
    <mergeCell ref="B2:P2"/>
  </mergeCells>
  <dataValidations count="1">
    <dataValidation sqref="C6:C20" showDropDown="0" showInputMessage="0" showErrorMessage="0" allowBlank="1" type="list">
      <formula1>=Lists!$C$2:$C$8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" customWidth="1" min="1" max="1"/>
    <col width="6" customWidth="1" min="2" max="2"/>
    <col width="22" customWidth="1" min="3" max="3"/>
    <col width="14" customWidth="1" min="4" max="4"/>
    <col width="16" customWidth="1" min="5" max="5"/>
    <col width="36" customWidth="1" min="6" max="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Payroll Calendar</t>
        </is>
      </c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Every payroll date in your budget period. Enter the total cost of each run (wages, taxes, benefits).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#</t>
        </is>
      </c>
      <c r="C5" s="13" t="inlineStr">
        <is>
          <t>Payroll Date</t>
        </is>
      </c>
      <c r="D5" s="13" t="inlineStr">
        <is>
          <t>Month</t>
        </is>
      </c>
      <c r="E5" s="13" t="inlineStr">
        <is>
          <t>Payroll Cost</t>
        </is>
      </c>
      <c r="F5" s="13" t="inlineStr">
        <is>
          <t>Notes</t>
        </is>
      </c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8" t="n">
        <v>1</v>
      </c>
      <c r="C6" s="39" t="n">
        <v>46037</v>
      </c>
      <c r="D6" s="40">
        <f>IF(C6="","",DATE(YEAR(C6),MONTH(C6),1))</f>
        <v/>
      </c>
      <c r="E6" s="34" t="n">
        <v>6800</v>
      </c>
      <c r="F6" s="33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8" t="n">
        <v>2</v>
      </c>
      <c r="C7" s="41" t="n">
        <v>46053</v>
      </c>
      <c r="D7" s="40">
        <f>IF(C7="","",DATE(YEAR(C7),MONTH(C7),1))</f>
        <v/>
      </c>
      <c r="E7" s="37" t="n">
        <v>6800</v>
      </c>
      <c r="F7" s="36" t="n"/>
      <c r="G7" s="1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8" t="n">
        <v>3</v>
      </c>
      <c r="C8" s="39" t="n">
        <v>46068</v>
      </c>
      <c r="D8" s="40">
        <f>IF(C8="","",DATE(YEAR(C8),MONTH(C8),1))</f>
        <v/>
      </c>
      <c r="E8" s="34" t="n">
        <v>6800</v>
      </c>
      <c r="F8" s="33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8" t="n">
        <v>4</v>
      </c>
      <c r="C9" s="41" t="n">
        <v>46081</v>
      </c>
      <c r="D9" s="40">
        <f>IF(C9="","",DATE(YEAR(C9),MONTH(C9),1))</f>
        <v/>
      </c>
      <c r="E9" s="37" t="n">
        <v>6800</v>
      </c>
      <c r="F9" s="36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8" t="n">
        <v>5</v>
      </c>
      <c r="C10" s="39" t="n">
        <v>46096</v>
      </c>
      <c r="D10" s="40">
        <f>IF(C10="","",DATE(YEAR(C10),MONTH(C10),1))</f>
        <v/>
      </c>
      <c r="E10" s="34" t="n">
        <v>6800</v>
      </c>
      <c r="F10" s="33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8" t="n">
        <v>6</v>
      </c>
      <c r="C11" s="41" t="n">
        <v>46112</v>
      </c>
      <c r="D11" s="40">
        <f>IF(C11="","",DATE(YEAR(C11),MONTH(C11),1))</f>
        <v/>
      </c>
      <c r="E11" s="37" t="n">
        <v>6800</v>
      </c>
      <c r="F11" s="36" t="n"/>
      <c r="G11" s="1" t="n"/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8" t="n">
        <v>7</v>
      </c>
      <c r="C12" s="39" t="n">
        <v>46127</v>
      </c>
      <c r="D12" s="40">
        <f>IF(C12="","",DATE(YEAR(C12),MONTH(C12),1))</f>
        <v/>
      </c>
      <c r="E12" s="34" t="n">
        <v>6800</v>
      </c>
      <c r="F12" s="3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8" t="n">
        <v>8</v>
      </c>
      <c r="C13" s="41" t="n">
        <v>46142</v>
      </c>
      <c r="D13" s="40">
        <f>IF(C13="","",DATE(YEAR(C13),MONTH(C13),1))</f>
        <v/>
      </c>
      <c r="E13" s="37" t="n">
        <v>6800</v>
      </c>
      <c r="F13" s="36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8" t="n">
        <v>9</v>
      </c>
      <c r="C14" s="39" t="n">
        <v>46157</v>
      </c>
      <c r="D14" s="40">
        <f>IF(C14="","",DATE(YEAR(C14),MONTH(C14),1))</f>
        <v/>
      </c>
      <c r="E14" s="34" t="n">
        <v>6800</v>
      </c>
      <c r="F14" s="33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8" t="n">
        <v>10</v>
      </c>
      <c r="C15" s="41" t="n">
        <v>46173</v>
      </c>
      <c r="D15" s="40">
        <f>IF(C15="","",DATE(YEAR(C15),MONTH(C15),1))</f>
        <v/>
      </c>
      <c r="E15" s="37" t="n">
        <v>6800</v>
      </c>
      <c r="F15" s="36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8" t="n">
        <v>11</v>
      </c>
      <c r="C16" s="39" t="n">
        <v>46188</v>
      </c>
      <c r="D16" s="40">
        <f>IF(C16="","",DATE(YEAR(C16),MONTH(C16),1))</f>
        <v/>
      </c>
      <c r="E16" s="34" t="n">
        <v>6800</v>
      </c>
      <c r="F16" s="33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8" t="n">
        <v>12</v>
      </c>
      <c r="C17" s="41" t="n">
        <v>46203</v>
      </c>
      <c r="D17" s="40">
        <f>IF(C17="","",DATE(YEAR(C17),MONTH(C17),1))</f>
        <v/>
      </c>
      <c r="E17" s="37" t="n">
        <v>6800</v>
      </c>
      <c r="F17" s="36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8" t="n">
        <v>13</v>
      </c>
      <c r="C18" s="39" t="n">
        <v>46218</v>
      </c>
      <c r="D18" s="40">
        <f>IF(C18="","",DATE(YEAR(C18),MONTH(C18),1))</f>
        <v/>
      </c>
      <c r="E18" s="34" t="n">
        <v>6800</v>
      </c>
      <c r="F18" s="33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8" t="n">
        <v>14</v>
      </c>
      <c r="C19" s="41" t="n">
        <v>46234</v>
      </c>
      <c r="D19" s="40">
        <f>IF(C19="","",DATE(YEAR(C19),MONTH(C19),1))</f>
        <v/>
      </c>
      <c r="E19" s="37" t="n">
        <v>6800</v>
      </c>
      <c r="F19" s="36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8" t="n">
        <v>15</v>
      </c>
      <c r="C20" s="39" t="n">
        <v>46249</v>
      </c>
      <c r="D20" s="40">
        <f>IF(C20="","",DATE(YEAR(C20),MONTH(C20),1))</f>
        <v/>
      </c>
      <c r="E20" s="34" t="n">
        <v>6800</v>
      </c>
      <c r="F20" s="33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8" t="n">
        <v>16</v>
      </c>
      <c r="C21" s="41" t="n">
        <v>46265</v>
      </c>
      <c r="D21" s="40">
        <f>IF(C21="","",DATE(YEAR(C21),MONTH(C21),1))</f>
        <v/>
      </c>
      <c r="E21" s="37" t="n">
        <v>6800</v>
      </c>
      <c r="F21" s="36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38" t="n">
        <v>17</v>
      </c>
      <c r="C22" s="39" t="n">
        <v>46280</v>
      </c>
      <c r="D22" s="40">
        <f>IF(C22="","",DATE(YEAR(C22),MONTH(C22),1))</f>
        <v/>
      </c>
      <c r="E22" s="34" t="n">
        <v>6800</v>
      </c>
      <c r="F22" s="33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38" t="n">
        <v>18</v>
      </c>
      <c r="C23" s="41" t="n">
        <v>46295</v>
      </c>
      <c r="D23" s="40">
        <f>IF(C23="","",DATE(YEAR(C23),MONTH(C23),1))</f>
        <v/>
      </c>
      <c r="E23" s="37" t="n">
        <v>6800</v>
      </c>
      <c r="F23" s="36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38" t="n">
        <v>19</v>
      </c>
      <c r="C24" s="39" t="n">
        <v>46310</v>
      </c>
      <c r="D24" s="40">
        <f>IF(C24="","",DATE(YEAR(C24),MONTH(C24),1))</f>
        <v/>
      </c>
      <c r="E24" s="34" t="n">
        <v>6800</v>
      </c>
      <c r="F24" s="33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38" t="n">
        <v>20</v>
      </c>
      <c r="C25" s="41" t="n">
        <v>46326</v>
      </c>
      <c r="D25" s="40">
        <f>IF(C25="","",DATE(YEAR(C25),MONTH(C25),1))</f>
        <v/>
      </c>
      <c r="E25" s="37" t="n">
        <v>6800</v>
      </c>
      <c r="F25" s="36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38" t="n">
        <v>21</v>
      </c>
      <c r="C26" s="39" t="n">
        <v>46341</v>
      </c>
      <c r="D26" s="40">
        <f>IF(C26="","",DATE(YEAR(C26),MONTH(C26),1))</f>
        <v/>
      </c>
      <c r="E26" s="34" t="n">
        <v>6800</v>
      </c>
      <c r="F26" s="33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38" t="n">
        <v>22</v>
      </c>
      <c r="C27" s="41" t="n">
        <v>46356</v>
      </c>
      <c r="D27" s="40">
        <f>IF(C27="","",DATE(YEAR(C27),MONTH(C27),1))</f>
        <v/>
      </c>
      <c r="E27" s="37" t="n">
        <v>6800</v>
      </c>
      <c r="F27" s="36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38" t="n">
        <v>23</v>
      </c>
      <c r="C28" s="39" t="n">
        <v>46371</v>
      </c>
      <c r="D28" s="40">
        <f>IF(C28="","",DATE(YEAR(C28),MONTH(C28),1))</f>
        <v/>
      </c>
      <c r="E28" s="34" t="n">
        <v>6800</v>
      </c>
      <c r="F28" s="33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38" t="n">
        <v>24</v>
      </c>
      <c r="C29" s="41" t="n">
        <v>46387</v>
      </c>
      <c r="D29" s="40">
        <f>IF(C29="","",DATE(YEAR(C29),MONTH(C29),1))</f>
        <v/>
      </c>
      <c r="E29" s="37" t="n">
        <v>6800</v>
      </c>
      <c r="F29" s="36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38" t="n"/>
      <c r="C30" s="39" t="n"/>
      <c r="D30" s="40">
        <f>IF(C30="","",DATE(YEAR(C30),MONTH(C30),1))</f>
        <v/>
      </c>
      <c r="E30" s="34" t="n"/>
      <c r="F30" s="33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38" t="n"/>
      <c r="C31" s="41" t="n"/>
      <c r="D31" s="40">
        <f>IF(C31="","",DATE(YEAR(C31),MONTH(C31),1))</f>
        <v/>
      </c>
      <c r="E31" s="37" t="n"/>
      <c r="F31" s="36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38" t="n"/>
      <c r="C32" s="39" t="n"/>
      <c r="D32" s="40">
        <f>IF(C32="","",DATE(YEAR(C32),MONTH(C32),1))</f>
        <v/>
      </c>
      <c r="E32" s="34" t="n"/>
      <c r="F32" s="33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38" t="n"/>
      <c r="C33" s="41" t="n"/>
      <c r="D33" s="40">
        <f>IF(C33="","",DATE(YEAR(C33),MONTH(C33),1))</f>
        <v/>
      </c>
      <c r="E33" s="37" t="n"/>
      <c r="F33" s="36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38" t="n"/>
      <c r="C34" s="39" t="n"/>
      <c r="D34" s="40">
        <f>IF(C34="","",DATE(YEAR(C34),MONTH(C34),1))</f>
        <v/>
      </c>
      <c r="E34" s="34" t="n"/>
      <c r="F34" s="33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38" t="n"/>
      <c r="C35" s="41" t="n"/>
      <c r="D35" s="40">
        <f>IF(C35="","",DATE(YEAR(C35),MONTH(C35),1))</f>
        <v/>
      </c>
      <c r="E35" s="37" t="n"/>
      <c r="F35" s="36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 ht="22" customHeight="1">
      <c r="A36" s="1" t="n"/>
      <c r="B36" s="24" t="inlineStr">
        <is>
          <t>TOTAL</t>
        </is>
      </c>
      <c r="C36" s="24" t="n"/>
      <c r="D36" s="24" t="n"/>
      <c r="E36" s="28">
        <f>SUM(E6:E35)</f>
        <v/>
      </c>
      <c r="F36" s="24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F2"/>
    <mergeCell ref="B3:F3"/>
  </mergeCells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30" customWidth="1" min="2" max="2"/>
    <col width="22" customWidth="1" min="3" max="3"/>
    <col width="11" customWidth="1" min="4" max="4"/>
    <col width="9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5" customWidth="1" min="18" max="1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Business Expenses</t>
        </is>
      </c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Fixed = same every month (rent, software, payroll). Variable = changes with activity (inventory, ads). Payroll fills from the Payroll sheet.</t>
        </is>
      </c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Name</t>
        </is>
      </c>
      <c r="C5" s="13" t="inlineStr">
        <is>
          <t>Category</t>
        </is>
      </c>
      <c r="D5" s="13" t="inlineStr">
        <is>
          <t>Type</t>
        </is>
      </c>
      <c r="E5" s="13" t="inlineStr">
        <is>
          <t>Due Day</t>
        </is>
      </c>
      <c r="F5" s="32" t="n">
        <v>46023</v>
      </c>
      <c r="G5" s="32" t="n">
        <v>46054</v>
      </c>
      <c r="H5" s="32" t="n">
        <v>46082</v>
      </c>
      <c r="I5" s="32" t="n">
        <v>46113</v>
      </c>
      <c r="J5" s="32" t="n">
        <v>46143</v>
      </c>
      <c r="K5" s="32" t="n">
        <v>46174</v>
      </c>
      <c r="L5" s="32" t="n">
        <v>46204</v>
      </c>
      <c r="M5" s="32" t="n">
        <v>46235</v>
      </c>
      <c r="N5" s="32" t="n">
        <v>46266</v>
      </c>
      <c r="O5" s="32" t="n">
        <v>46296</v>
      </c>
      <c r="P5" s="32" t="n">
        <v>46327</v>
      </c>
      <c r="Q5" s="32" t="n">
        <v>46357</v>
      </c>
      <c r="R5" s="13" t="inlineStr">
        <is>
          <t>Annual Total</t>
        </is>
      </c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42" t="inlineStr">
        <is>
          <t>Payroll (Semi-monthly (15th &amp; Last day))</t>
        </is>
      </c>
      <c r="C6" s="43" t="inlineStr">
        <is>
          <t>Payroll</t>
        </is>
      </c>
      <c r="D6" s="44" t="inlineStr">
        <is>
          <t>Fixed</t>
        </is>
      </c>
      <c r="E6" s="43" t="n"/>
      <c r="F6" s="45">
        <f>SUMIFS('Payroll'!$E$6:$E$35,'Payroll'!$D$6:$D$35,F$5)</f>
        <v/>
      </c>
      <c r="G6" s="45">
        <f>SUMIFS('Payroll'!$E$6:$E$35,'Payroll'!$D$6:$D$35,G$5)</f>
        <v/>
      </c>
      <c r="H6" s="45">
        <f>SUMIFS('Payroll'!$E$6:$E$35,'Payroll'!$D$6:$D$35,H$5)</f>
        <v/>
      </c>
      <c r="I6" s="45">
        <f>SUMIFS('Payroll'!$E$6:$E$35,'Payroll'!$D$6:$D$35,I$5)</f>
        <v/>
      </c>
      <c r="J6" s="45">
        <f>SUMIFS('Payroll'!$E$6:$E$35,'Payroll'!$D$6:$D$35,J$5)</f>
        <v/>
      </c>
      <c r="K6" s="45">
        <f>SUMIFS('Payroll'!$E$6:$E$35,'Payroll'!$D$6:$D$35,K$5)</f>
        <v/>
      </c>
      <c r="L6" s="45">
        <f>SUMIFS('Payroll'!$E$6:$E$35,'Payroll'!$D$6:$D$35,L$5)</f>
        <v/>
      </c>
      <c r="M6" s="45">
        <f>SUMIFS('Payroll'!$E$6:$E$35,'Payroll'!$D$6:$D$35,M$5)</f>
        <v/>
      </c>
      <c r="N6" s="45">
        <f>SUMIFS('Payroll'!$E$6:$E$35,'Payroll'!$D$6:$D$35,N$5)</f>
        <v/>
      </c>
      <c r="O6" s="45">
        <f>SUMIFS('Payroll'!$E$6:$E$35,'Payroll'!$D$6:$D$35,O$5)</f>
        <v/>
      </c>
      <c r="P6" s="45">
        <f>SUMIFS('Payroll'!$E$6:$E$35,'Payroll'!$D$6:$D$35,P$5)</f>
        <v/>
      </c>
      <c r="Q6" s="45">
        <f>SUMIFS('Payroll'!$E$6:$E$35,'Payroll'!$D$6:$D$35,Q$5)</f>
        <v/>
      </c>
      <c r="R6" s="35">
        <f>IF(COUNT(F6:Q6)=0,"",SUM(F6:Q6))</f>
        <v/>
      </c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Studio Lease</t>
        </is>
      </c>
      <c r="C7" s="36" t="inlineStr">
        <is>
          <t>Rent &amp; Facilities</t>
        </is>
      </c>
      <c r="D7" s="46" t="inlineStr">
        <is>
          <t>Fixed</t>
        </is>
      </c>
      <c r="E7" s="46" t="n">
        <v>1</v>
      </c>
      <c r="F7" s="37" t="n">
        <v>2400</v>
      </c>
      <c r="G7" s="37" t="n">
        <v>2400</v>
      </c>
      <c r="H7" s="37" t="n">
        <v>2400</v>
      </c>
      <c r="I7" s="37" t="n">
        <v>2400</v>
      </c>
      <c r="J7" s="37" t="n">
        <v>2400</v>
      </c>
      <c r="K7" s="37" t="n">
        <v>2400</v>
      </c>
      <c r="L7" s="37" t="n">
        <v>2400</v>
      </c>
      <c r="M7" s="37" t="n">
        <v>2400</v>
      </c>
      <c r="N7" s="37" t="n">
        <v>2400</v>
      </c>
      <c r="O7" s="37" t="n">
        <v>2400</v>
      </c>
      <c r="P7" s="37" t="n">
        <v>2400</v>
      </c>
      <c r="Q7" s="37" t="n">
        <v>2400</v>
      </c>
      <c r="R7" s="35">
        <f>IF(COUNT(F7:Q7)=0,"",SUM(F7:Q7))</f>
        <v/>
      </c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3" t="inlineStr">
        <is>
          <t>Software &amp; SaaS</t>
        </is>
      </c>
      <c r="C8" s="33" t="inlineStr">
        <is>
          <t>Software &amp; Subscriptions</t>
        </is>
      </c>
      <c r="D8" s="47" t="inlineStr">
        <is>
          <t>Fixed</t>
        </is>
      </c>
      <c r="E8" s="47" t="n">
        <v>5</v>
      </c>
      <c r="F8" s="34" t="n">
        <v>640</v>
      </c>
      <c r="G8" s="34" t="n">
        <v>640</v>
      </c>
      <c r="H8" s="34" t="n">
        <v>640</v>
      </c>
      <c r="I8" s="34" t="n">
        <v>640</v>
      </c>
      <c r="J8" s="34" t="n">
        <v>640</v>
      </c>
      <c r="K8" s="34" t="n">
        <v>640</v>
      </c>
      <c r="L8" s="34" t="n">
        <v>640</v>
      </c>
      <c r="M8" s="34" t="n">
        <v>640</v>
      </c>
      <c r="N8" s="34" t="n">
        <v>640</v>
      </c>
      <c r="O8" s="34" t="n">
        <v>640</v>
      </c>
      <c r="P8" s="34" t="n">
        <v>640</v>
      </c>
      <c r="Q8" s="34" t="n">
        <v>640</v>
      </c>
      <c r="R8" s="35">
        <f>IF(COUNT(F8:Q8)=0,"",SUM(F8:Q8))</f>
        <v/>
      </c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inlineStr">
        <is>
          <t>Business Insurance</t>
        </is>
      </c>
      <c r="C9" s="36" t="inlineStr">
        <is>
          <t>Insurance</t>
        </is>
      </c>
      <c r="D9" s="46" t="inlineStr">
        <is>
          <t>Fixed</t>
        </is>
      </c>
      <c r="E9" s="46" t="n"/>
      <c r="F9" s="37" t="n">
        <v>1800</v>
      </c>
      <c r="G9" s="37" t="n"/>
      <c r="H9" s="37" t="n"/>
      <c r="I9" s="37" t="n">
        <v>1800</v>
      </c>
      <c r="J9" s="37" t="n"/>
      <c r="K9" s="37" t="n"/>
      <c r="L9" s="37" t="n">
        <v>1800</v>
      </c>
      <c r="M9" s="37" t="n"/>
      <c r="N9" s="37" t="n"/>
      <c r="O9" s="37" t="n">
        <v>1800</v>
      </c>
      <c r="P9" s="37" t="n"/>
      <c r="Q9" s="37" t="n"/>
      <c r="R9" s="35">
        <f>IF(COUNT(F9:Q9)=0,"",SUM(F9:Q9))</f>
        <v/>
      </c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3" t="inlineStr">
        <is>
          <t>Bookkeeping</t>
        </is>
      </c>
      <c r="C10" s="33" t="inlineStr">
        <is>
          <t>Professional Fees</t>
        </is>
      </c>
      <c r="D10" s="47" t="inlineStr">
        <is>
          <t>Fixed</t>
        </is>
      </c>
      <c r="E10" s="47" t="n">
        <v>10</v>
      </c>
      <c r="F10" s="34" t="n">
        <v>450</v>
      </c>
      <c r="G10" s="34" t="n">
        <v>450</v>
      </c>
      <c r="H10" s="34" t="n">
        <v>450</v>
      </c>
      <c r="I10" s="34" t="n">
        <v>450</v>
      </c>
      <c r="J10" s="34" t="n">
        <v>450</v>
      </c>
      <c r="K10" s="34" t="n">
        <v>450</v>
      </c>
      <c r="L10" s="34" t="n">
        <v>450</v>
      </c>
      <c r="M10" s="34" t="n">
        <v>450</v>
      </c>
      <c r="N10" s="34" t="n">
        <v>450</v>
      </c>
      <c r="O10" s="34" t="n">
        <v>450</v>
      </c>
      <c r="P10" s="34" t="n">
        <v>450</v>
      </c>
      <c r="Q10" s="34" t="n">
        <v>450</v>
      </c>
      <c r="R10" s="35">
        <f>IF(COUNT(F10:Q10)=0,"",SUM(F10:Q10))</f>
        <v/>
      </c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inlineStr">
        <is>
          <t>Ads &amp; Promotion</t>
        </is>
      </c>
      <c r="C11" s="36" t="inlineStr">
        <is>
          <t>Marketing &amp; Advertising</t>
        </is>
      </c>
      <c r="D11" s="46" t="inlineStr">
        <is>
          <t>Variable</t>
        </is>
      </c>
      <c r="E11" s="46" t="n"/>
      <c r="F11" s="37" t="n">
        <v>900</v>
      </c>
      <c r="G11" s="37" t="n">
        <v>900</v>
      </c>
      <c r="H11" s="37" t="n">
        <v>900</v>
      </c>
      <c r="I11" s="37" t="n">
        <v>900</v>
      </c>
      <c r="J11" s="37" t="n">
        <v>900</v>
      </c>
      <c r="K11" s="37" t="n">
        <v>900</v>
      </c>
      <c r="L11" s="37" t="n">
        <v>900</v>
      </c>
      <c r="M11" s="37" t="n">
        <v>900</v>
      </c>
      <c r="N11" s="37" t="n">
        <v>900</v>
      </c>
      <c r="O11" s="37" t="n">
        <v>900</v>
      </c>
      <c r="P11" s="37" t="n">
        <v>900</v>
      </c>
      <c r="Q11" s="37" t="n">
        <v>900</v>
      </c>
      <c r="R11" s="35">
        <f>IF(COUNT(F11:Q11)=0,"",SUM(F11:Q11))</f>
        <v/>
      </c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3" t="inlineStr">
        <is>
          <t>Freelance Contractors</t>
        </is>
      </c>
      <c r="C12" s="33" t="inlineStr">
        <is>
          <t>Contractors</t>
        </is>
      </c>
      <c r="D12" s="47" t="inlineStr">
        <is>
          <t>Variable</t>
        </is>
      </c>
      <c r="E12" s="47" t="n"/>
      <c r="F12" s="34" t="n">
        <v>1500</v>
      </c>
      <c r="G12" s="34" t="n">
        <v>1200</v>
      </c>
      <c r="H12" s="34" t="n">
        <v>2500</v>
      </c>
      <c r="I12" s="34" t="n">
        <v>2000</v>
      </c>
      <c r="J12" s="34" t="n">
        <v>1800</v>
      </c>
      <c r="K12" s="34" t="n">
        <v>3500</v>
      </c>
      <c r="L12" s="34" t="n">
        <v>1500</v>
      </c>
      <c r="M12" s="34" t="n">
        <v>1200</v>
      </c>
      <c r="N12" s="34" t="n">
        <v>2500</v>
      </c>
      <c r="O12" s="34" t="n">
        <v>3000</v>
      </c>
      <c r="P12" s="34" t="n">
        <v>4000</v>
      </c>
      <c r="Q12" s="34" t="n">
        <v>2000</v>
      </c>
      <c r="R12" s="35">
        <f>IF(COUNT(F12:Q12)=0,"",SUM(F12:Q12))</f>
        <v/>
      </c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inlineStr">
        <is>
          <t>Merchant Fees</t>
        </is>
      </c>
      <c r="C13" s="36" t="inlineStr">
        <is>
          <t>Bank &amp; Merchant Fees</t>
        </is>
      </c>
      <c r="D13" s="46" t="inlineStr">
        <is>
          <t>Variable</t>
        </is>
      </c>
      <c r="E13" s="46" t="n"/>
      <c r="F13" s="37" t="n">
        <v>320</v>
      </c>
      <c r="G13" s="37" t="n">
        <v>320</v>
      </c>
      <c r="H13" s="37" t="n">
        <v>320</v>
      </c>
      <c r="I13" s="37" t="n">
        <v>320</v>
      </c>
      <c r="J13" s="37" t="n">
        <v>320</v>
      </c>
      <c r="K13" s="37" t="n">
        <v>320</v>
      </c>
      <c r="L13" s="37" t="n">
        <v>320</v>
      </c>
      <c r="M13" s="37" t="n">
        <v>320</v>
      </c>
      <c r="N13" s="37" t="n">
        <v>320</v>
      </c>
      <c r="O13" s="37" t="n">
        <v>320</v>
      </c>
      <c r="P13" s="37" t="n">
        <v>320</v>
      </c>
      <c r="Q13" s="37" t="n">
        <v>320</v>
      </c>
      <c r="R13" s="35">
        <f>IF(COUNT(F13:Q13)=0,"",SUM(F13:Q13))</f>
        <v/>
      </c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3" t="inlineStr">
        <is>
          <t>Equipment Upgrade</t>
        </is>
      </c>
      <c r="C14" s="33" t="inlineStr">
        <is>
          <t>Equipment</t>
        </is>
      </c>
      <c r="D14" s="47" t="inlineStr">
        <is>
          <t>Variable</t>
        </is>
      </c>
      <c r="E14" s="47" t="n"/>
      <c r="F14" s="34" t="n"/>
      <c r="G14" s="34" t="n"/>
      <c r="H14" s="34" t="n">
        <v>4200</v>
      </c>
      <c r="I14" s="34" t="n"/>
      <c r="J14" s="34" t="n"/>
      <c r="K14" s="34" t="n"/>
      <c r="L14" s="34" t="n"/>
      <c r="M14" s="34" t="n"/>
      <c r="N14" s="34" t="n"/>
      <c r="O14" s="34" t="n"/>
      <c r="P14" s="34" t="n"/>
      <c r="Q14" s="34" t="n"/>
      <c r="R14" s="35">
        <f>IF(COUNT(F14:Q14)=0,"",SUM(F14:Q14))</f>
        <v/>
      </c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inlineStr">
        <is>
          <t>Estimated Taxes</t>
        </is>
      </c>
      <c r="C15" s="36" t="inlineStr">
        <is>
          <t>Taxes &amp; Licenses</t>
        </is>
      </c>
      <c r="D15" s="46" t="inlineStr">
        <is>
          <t>Fixed</t>
        </is>
      </c>
      <c r="E15" s="46" t="n"/>
      <c r="F15" s="37" t="n">
        <v>4500</v>
      </c>
      <c r="G15" s="37" t="n"/>
      <c r="H15" s="37" t="n"/>
      <c r="I15" s="37" t="n">
        <v>4500</v>
      </c>
      <c r="J15" s="37" t="n"/>
      <c r="K15" s="37" t="n"/>
      <c r="L15" s="37" t="n">
        <v>4500</v>
      </c>
      <c r="M15" s="37" t="n"/>
      <c r="N15" s="37" t="n"/>
      <c r="O15" s="37" t="n">
        <v>4500</v>
      </c>
      <c r="P15" s="37" t="n"/>
      <c r="Q15" s="37" t="n"/>
      <c r="R15" s="35">
        <f>IF(COUNT(F15:Q15)=0,"",SUM(F15:Q15))</f>
        <v/>
      </c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>
      <c r="A16" s="1" t="n"/>
      <c r="B16" s="33" t="n"/>
      <c r="C16" s="33" t="n"/>
      <c r="D16" s="47" t="n"/>
      <c r="E16" s="47" t="n"/>
      <c r="F16" s="34" t="n"/>
      <c r="G16" s="34" t="n"/>
      <c r="H16" s="34" t="n"/>
      <c r="I16" s="34" t="n"/>
      <c r="J16" s="34" t="n"/>
      <c r="K16" s="34" t="n"/>
      <c r="L16" s="34" t="n"/>
      <c r="M16" s="34" t="n"/>
      <c r="N16" s="34" t="n"/>
      <c r="O16" s="34" t="n"/>
      <c r="P16" s="34" t="n"/>
      <c r="Q16" s="34" t="n"/>
      <c r="R16" s="35">
        <f>IF(COUNT(F16:Q16)=0,"",SUM(F16:Q16))</f>
        <v/>
      </c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36" t="n"/>
      <c r="C17" s="36" t="n"/>
      <c r="D17" s="46" t="n"/>
      <c r="E17" s="46" t="n"/>
      <c r="F17" s="37" t="n"/>
      <c r="G17" s="37" t="n"/>
      <c r="H17" s="37" t="n"/>
      <c r="I17" s="37" t="n"/>
      <c r="J17" s="37" t="n"/>
      <c r="K17" s="37" t="n"/>
      <c r="L17" s="37" t="n"/>
      <c r="M17" s="37" t="n"/>
      <c r="N17" s="37" t="n"/>
      <c r="O17" s="37" t="n"/>
      <c r="P17" s="37" t="n"/>
      <c r="Q17" s="37" t="n"/>
      <c r="R17" s="35">
        <f>IF(COUNT(F17:Q17)=0,"",SUM(F17:Q17))</f>
        <v/>
      </c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33" t="n"/>
      <c r="C18" s="33" t="n"/>
      <c r="D18" s="47" t="n"/>
      <c r="E18" s="47" t="n"/>
      <c r="F18" s="34" t="n"/>
      <c r="G18" s="34" t="n"/>
      <c r="H18" s="34" t="n"/>
      <c r="I18" s="34" t="n"/>
      <c r="J18" s="34" t="n"/>
      <c r="K18" s="34" t="n"/>
      <c r="L18" s="34" t="n"/>
      <c r="M18" s="34" t="n"/>
      <c r="N18" s="34" t="n"/>
      <c r="O18" s="34" t="n"/>
      <c r="P18" s="34" t="n"/>
      <c r="Q18" s="34" t="n"/>
      <c r="R18" s="35">
        <f>IF(COUNT(F18:Q18)=0,"",SUM(F18:Q18))</f>
        <v/>
      </c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36" t="n"/>
      <c r="C19" s="36" t="n"/>
      <c r="D19" s="46" t="n"/>
      <c r="E19" s="46" t="n"/>
      <c r="F19" s="37" t="n"/>
      <c r="G19" s="37" t="n"/>
      <c r="H19" s="37" t="n"/>
      <c r="I19" s="37" t="n"/>
      <c r="J19" s="37" t="n"/>
      <c r="K19" s="37" t="n"/>
      <c r="L19" s="37" t="n"/>
      <c r="M19" s="37" t="n"/>
      <c r="N19" s="37" t="n"/>
      <c r="O19" s="37" t="n"/>
      <c r="P19" s="37" t="n"/>
      <c r="Q19" s="37" t="n"/>
      <c r="R19" s="35">
        <f>IF(COUNT(F19:Q19)=0,"",SUM(F19:Q19))</f>
        <v/>
      </c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33" t="n"/>
      <c r="C20" s="33" t="n"/>
      <c r="D20" s="47" t="n"/>
      <c r="E20" s="47" t="n"/>
      <c r="F20" s="34" t="n"/>
      <c r="G20" s="34" t="n"/>
      <c r="H20" s="34" t="n"/>
      <c r="I20" s="34" t="n"/>
      <c r="J20" s="34" t="n"/>
      <c r="K20" s="34" t="n"/>
      <c r="L20" s="34" t="n"/>
      <c r="M20" s="34" t="n"/>
      <c r="N20" s="34" t="n"/>
      <c r="O20" s="34" t="n"/>
      <c r="P20" s="34" t="n"/>
      <c r="Q20" s="34" t="n"/>
      <c r="R20" s="35">
        <f>IF(COUNT(F20:Q20)=0,"",SUM(F20:Q20))</f>
        <v/>
      </c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36" t="n"/>
      <c r="C21" s="36" t="n"/>
      <c r="D21" s="46" t="n"/>
      <c r="E21" s="46" t="n"/>
      <c r="F21" s="37" t="n"/>
      <c r="G21" s="37" t="n"/>
      <c r="H21" s="37" t="n"/>
      <c r="I21" s="37" t="n"/>
      <c r="J21" s="37" t="n"/>
      <c r="K21" s="37" t="n"/>
      <c r="L21" s="37" t="n"/>
      <c r="M21" s="37" t="n"/>
      <c r="N21" s="37" t="n"/>
      <c r="O21" s="37" t="n"/>
      <c r="P21" s="37" t="n"/>
      <c r="Q21" s="37" t="n"/>
      <c r="R21" s="35">
        <f>IF(COUNT(F21:Q21)=0,"",SUM(F21:Q21))</f>
        <v/>
      </c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33" t="n"/>
      <c r="C22" s="33" t="n"/>
      <c r="D22" s="47" t="n"/>
      <c r="E22" s="47" t="n"/>
      <c r="F22" s="34" t="n"/>
      <c r="G22" s="34" t="n"/>
      <c r="H22" s="34" t="n"/>
      <c r="I22" s="34" t="n"/>
      <c r="J22" s="34" t="n"/>
      <c r="K22" s="34" t="n"/>
      <c r="L22" s="34" t="n"/>
      <c r="M22" s="34" t="n"/>
      <c r="N22" s="34" t="n"/>
      <c r="O22" s="34" t="n"/>
      <c r="P22" s="34" t="n"/>
      <c r="Q22" s="34" t="n"/>
      <c r="R22" s="35">
        <f>IF(COUNT(F22:Q22)=0,"",SUM(F22:Q22))</f>
        <v/>
      </c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36" t="n"/>
      <c r="C23" s="36" t="n"/>
      <c r="D23" s="46" t="n"/>
      <c r="E23" s="46" t="n"/>
      <c r="F23" s="37" t="n"/>
      <c r="G23" s="37" t="n"/>
      <c r="H23" s="37" t="n"/>
      <c r="I23" s="37" t="n"/>
      <c r="J23" s="37" t="n"/>
      <c r="K23" s="37" t="n"/>
      <c r="L23" s="37" t="n"/>
      <c r="M23" s="37" t="n"/>
      <c r="N23" s="37" t="n"/>
      <c r="O23" s="37" t="n"/>
      <c r="P23" s="37" t="n"/>
      <c r="Q23" s="37" t="n"/>
      <c r="R23" s="35">
        <f>IF(COUNT(F23:Q23)=0,"",SUM(F23:Q23))</f>
        <v/>
      </c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33" t="n"/>
      <c r="C24" s="33" t="n"/>
      <c r="D24" s="47" t="n"/>
      <c r="E24" s="47" t="n"/>
      <c r="F24" s="34" t="n"/>
      <c r="G24" s="34" t="n"/>
      <c r="H24" s="34" t="n"/>
      <c r="I24" s="34" t="n"/>
      <c r="J24" s="34" t="n"/>
      <c r="K24" s="34" t="n"/>
      <c r="L24" s="34" t="n"/>
      <c r="M24" s="34" t="n"/>
      <c r="N24" s="34" t="n"/>
      <c r="O24" s="34" t="n"/>
      <c r="P24" s="34" t="n"/>
      <c r="Q24" s="34" t="n"/>
      <c r="R24" s="35">
        <f>IF(COUNT(F24:Q24)=0,"",SUM(F24:Q24))</f>
        <v/>
      </c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36" t="n"/>
      <c r="C25" s="36" t="n"/>
      <c r="D25" s="46" t="n"/>
      <c r="E25" s="46" t="n"/>
      <c r="F25" s="37" t="n"/>
      <c r="G25" s="37" t="n"/>
      <c r="H25" s="37" t="n"/>
      <c r="I25" s="37" t="n"/>
      <c r="J25" s="37" t="n"/>
      <c r="K25" s="37" t="n"/>
      <c r="L25" s="37" t="n"/>
      <c r="M25" s="37" t="n"/>
      <c r="N25" s="37" t="n"/>
      <c r="O25" s="37" t="n"/>
      <c r="P25" s="37" t="n"/>
      <c r="Q25" s="37" t="n"/>
      <c r="R25" s="35">
        <f>IF(COUNT(F25:Q25)=0,"",SUM(F25:Q25))</f>
        <v/>
      </c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33" t="n"/>
      <c r="C26" s="33" t="n"/>
      <c r="D26" s="47" t="n"/>
      <c r="E26" s="47" t="n"/>
      <c r="F26" s="34" t="n"/>
      <c r="G26" s="34" t="n"/>
      <c r="H26" s="34" t="n"/>
      <c r="I26" s="34" t="n"/>
      <c r="J26" s="34" t="n"/>
      <c r="K26" s="34" t="n"/>
      <c r="L26" s="34" t="n"/>
      <c r="M26" s="34" t="n"/>
      <c r="N26" s="34" t="n"/>
      <c r="O26" s="34" t="n"/>
      <c r="P26" s="34" t="n"/>
      <c r="Q26" s="34" t="n"/>
      <c r="R26" s="35">
        <f>IF(COUNT(F26:Q26)=0,"",SUM(F26:Q26))</f>
        <v/>
      </c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36" t="n"/>
      <c r="C27" s="36" t="n"/>
      <c r="D27" s="46" t="n"/>
      <c r="E27" s="46" t="n"/>
      <c r="F27" s="37" t="n"/>
      <c r="G27" s="37" t="n"/>
      <c r="H27" s="37" t="n"/>
      <c r="I27" s="37" t="n"/>
      <c r="J27" s="37" t="n"/>
      <c r="K27" s="37" t="n"/>
      <c r="L27" s="37" t="n"/>
      <c r="M27" s="37" t="n"/>
      <c r="N27" s="37" t="n"/>
      <c r="O27" s="37" t="n"/>
      <c r="P27" s="37" t="n"/>
      <c r="Q27" s="37" t="n"/>
      <c r="R27" s="35">
        <f>IF(COUNT(F27:Q27)=0,"",SUM(F27:Q27))</f>
        <v/>
      </c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33" t="n"/>
      <c r="C28" s="33" t="n"/>
      <c r="D28" s="47" t="n"/>
      <c r="E28" s="47" t="n"/>
      <c r="F28" s="34" t="n"/>
      <c r="G28" s="34" t="n"/>
      <c r="H28" s="34" t="n"/>
      <c r="I28" s="34" t="n"/>
      <c r="J28" s="34" t="n"/>
      <c r="K28" s="34" t="n"/>
      <c r="L28" s="34" t="n"/>
      <c r="M28" s="34" t="n"/>
      <c r="N28" s="34" t="n"/>
      <c r="O28" s="34" t="n"/>
      <c r="P28" s="34" t="n"/>
      <c r="Q28" s="34" t="n"/>
      <c r="R28" s="35">
        <f>IF(COUNT(F28:Q28)=0,"",SUM(F28:Q28))</f>
        <v/>
      </c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36" t="n"/>
      <c r="C29" s="36" t="n"/>
      <c r="D29" s="46" t="n"/>
      <c r="E29" s="46" t="n"/>
      <c r="F29" s="37" t="n"/>
      <c r="G29" s="37" t="n"/>
      <c r="H29" s="37" t="n"/>
      <c r="I29" s="37" t="n"/>
      <c r="J29" s="37" t="n"/>
      <c r="K29" s="37" t="n"/>
      <c r="L29" s="37" t="n"/>
      <c r="M29" s="37" t="n"/>
      <c r="N29" s="37" t="n"/>
      <c r="O29" s="37" t="n"/>
      <c r="P29" s="37" t="n"/>
      <c r="Q29" s="37" t="n"/>
      <c r="R29" s="35">
        <f>IF(COUNT(F29:Q29)=0,"",SUM(F29:Q29))</f>
        <v/>
      </c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33" t="n"/>
      <c r="C30" s="33" t="n"/>
      <c r="D30" s="47" t="n"/>
      <c r="E30" s="47" t="n"/>
      <c r="F30" s="34" t="n"/>
      <c r="G30" s="34" t="n"/>
      <c r="H30" s="34" t="n"/>
      <c r="I30" s="34" t="n"/>
      <c r="J30" s="34" t="n"/>
      <c r="K30" s="34" t="n"/>
      <c r="L30" s="34" t="n"/>
      <c r="M30" s="34" t="n"/>
      <c r="N30" s="34" t="n"/>
      <c r="O30" s="34" t="n"/>
      <c r="P30" s="34" t="n"/>
      <c r="Q30" s="34" t="n"/>
      <c r="R30" s="35">
        <f>IF(COUNT(F30:Q30)=0,"",SUM(F30:Q30))</f>
        <v/>
      </c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36" t="n"/>
      <c r="C31" s="36" t="n"/>
      <c r="D31" s="46" t="n"/>
      <c r="E31" s="46" t="n"/>
      <c r="F31" s="37" t="n"/>
      <c r="G31" s="37" t="n"/>
      <c r="H31" s="37" t="n"/>
      <c r="I31" s="37" t="n"/>
      <c r="J31" s="37" t="n"/>
      <c r="K31" s="37" t="n"/>
      <c r="L31" s="37" t="n"/>
      <c r="M31" s="37" t="n"/>
      <c r="N31" s="37" t="n"/>
      <c r="O31" s="37" t="n"/>
      <c r="P31" s="37" t="n"/>
      <c r="Q31" s="37" t="n"/>
      <c r="R31" s="35">
        <f>IF(COUNT(F31:Q31)=0,"",SUM(F31:Q31))</f>
        <v/>
      </c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33" t="n"/>
      <c r="C32" s="33" t="n"/>
      <c r="D32" s="47" t="n"/>
      <c r="E32" s="47" t="n"/>
      <c r="F32" s="34" t="n"/>
      <c r="G32" s="34" t="n"/>
      <c r="H32" s="34" t="n"/>
      <c r="I32" s="34" t="n"/>
      <c r="J32" s="34" t="n"/>
      <c r="K32" s="34" t="n"/>
      <c r="L32" s="34" t="n"/>
      <c r="M32" s="34" t="n"/>
      <c r="N32" s="34" t="n"/>
      <c r="O32" s="34" t="n"/>
      <c r="P32" s="34" t="n"/>
      <c r="Q32" s="34" t="n"/>
      <c r="R32" s="35">
        <f>IF(COUNT(F32:Q32)=0,"",SUM(F32:Q32))</f>
        <v/>
      </c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36" t="n"/>
      <c r="C33" s="36" t="n"/>
      <c r="D33" s="46" t="n"/>
      <c r="E33" s="46" t="n"/>
      <c r="F33" s="37" t="n"/>
      <c r="G33" s="37" t="n"/>
      <c r="H33" s="37" t="n"/>
      <c r="I33" s="37" t="n"/>
      <c r="J33" s="37" t="n"/>
      <c r="K33" s="37" t="n"/>
      <c r="L33" s="37" t="n"/>
      <c r="M33" s="37" t="n"/>
      <c r="N33" s="37" t="n"/>
      <c r="O33" s="37" t="n"/>
      <c r="P33" s="37" t="n"/>
      <c r="Q33" s="37" t="n"/>
      <c r="R33" s="35">
        <f>IF(COUNT(F33:Q33)=0,"",SUM(F33:Q33))</f>
        <v/>
      </c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33" t="n"/>
      <c r="C34" s="33" t="n"/>
      <c r="D34" s="47" t="n"/>
      <c r="E34" s="47" t="n"/>
      <c r="F34" s="34" t="n"/>
      <c r="G34" s="34" t="n"/>
      <c r="H34" s="34" t="n"/>
      <c r="I34" s="34" t="n"/>
      <c r="J34" s="34" t="n"/>
      <c r="K34" s="34" t="n"/>
      <c r="L34" s="34" t="n"/>
      <c r="M34" s="34" t="n"/>
      <c r="N34" s="34" t="n"/>
      <c r="O34" s="34" t="n"/>
      <c r="P34" s="34" t="n"/>
      <c r="Q34" s="34" t="n"/>
      <c r="R34" s="35">
        <f>IF(COUNT(F34:Q34)=0,"",SUM(F34:Q34))</f>
        <v/>
      </c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36" t="n"/>
      <c r="C35" s="36" t="n"/>
      <c r="D35" s="46" t="n"/>
      <c r="E35" s="46" t="n"/>
      <c r="F35" s="37" t="n"/>
      <c r="G35" s="37" t="n"/>
      <c r="H35" s="37" t="n"/>
      <c r="I35" s="37" t="n"/>
      <c r="J35" s="37" t="n"/>
      <c r="K35" s="37" t="n"/>
      <c r="L35" s="37" t="n"/>
      <c r="M35" s="37" t="n"/>
      <c r="N35" s="37" t="n"/>
      <c r="O35" s="37" t="n"/>
      <c r="P35" s="37" t="n"/>
      <c r="Q35" s="37" t="n"/>
      <c r="R35" s="35">
        <f>IF(COUNT(F35:Q35)=0,"",SUM(F35:Q35))</f>
        <v/>
      </c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33" t="n"/>
      <c r="C36" s="33" t="n"/>
      <c r="D36" s="47" t="n"/>
      <c r="E36" s="47" t="n"/>
      <c r="F36" s="34" t="n"/>
      <c r="G36" s="34" t="n"/>
      <c r="H36" s="34" t="n"/>
      <c r="I36" s="34" t="n"/>
      <c r="J36" s="34" t="n"/>
      <c r="K36" s="34" t="n"/>
      <c r="L36" s="34" t="n"/>
      <c r="M36" s="34" t="n"/>
      <c r="N36" s="34" t="n"/>
      <c r="O36" s="34" t="n"/>
      <c r="P36" s="34" t="n"/>
      <c r="Q36" s="34" t="n"/>
      <c r="R36" s="35">
        <f>IF(COUNT(F36:Q36)=0,"",SUM(F36:Q36))</f>
        <v/>
      </c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36" t="n"/>
      <c r="C37" s="36" t="n"/>
      <c r="D37" s="46" t="n"/>
      <c r="E37" s="46" t="n"/>
      <c r="F37" s="37" t="n"/>
      <c r="G37" s="37" t="n"/>
      <c r="H37" s="37" t="n"/>
      <c r="I37" s="37" t="n"/>
      <c r="J37" s="37" t="n"/>
      <c r="K37" s="37" t="n"/>
      <c r="L37" s="37" t="n"/>
      <c r="M37" s="37" t="n"/>
      <c r="N37" s="37" t="n"/>
      <c r="O37" s="37" t="n"/>
      <c r="P37" s="37" t="n"/>
      <c r="Q37" s="37" t="n"/>
      <c r="R37" s="35">
        <f>IF(COUNT(F37:Q37)=0,"",SUM(F37:Q37))</f>
        <v/>
      </c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33" t="n"/>
      <c r="C38" s="33" t="n"/>
      <c r="D38" s="47" t="n"/>
      <c r="E38" s="47" t="n"/>
      <c r="F38" s="34" t="n"/>
      <c r="G38" s="34" t="n"/>
      <c r="H38" s="34" t="n"/>
      <c r="I38" s="34" t="n"/>
      <c r="J38" s="34" t="n"/>
      <c r="K38" s="34" t="n"/>
      <c r="L38" s="34" t="n"/>
      <c r="M38" s="34" t="n"/>
      <c r="N38" s="34" t="n"/>
      <c r="O38" s="34" t="n"/>
      <c r="P38" s="34" t="n"/>
      <c r="Q38" s="34" t="n"/>
      <c r="R38" s="35">
        <f>IF(COUNT(F38:Q38)=0,"",SUM(F38:Q38))</f>
        <v/>
      </c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36" t="n"/>
      <c r="C39" s="36" t="n"/>
      <c r="D39" s="46" t="n"/>
      <c r="E39" s="46" t="n"/>
      <c r="F39" s="37" t="n"/>
      <c r="G39" s="37" t="n"/>
      <c r="H39" s="37" t="n"/>
      <c r="I39" s="37" t="n"/>
      <c r="J39" s="37" t="n"/>
      <c r="K39" s="37" t="n"/>
      <c r="L39" s="37" t="n"/>
      <c r="M39" s="37" t="n"/>
      <c r="N39" s="37" t="n"/>
      <c r="O39" s="37" t="n"/>
      <c r="P39" s="37" t="n"/>
      <c r="Q39" s="37" t="n"/>
      <c r="R39" s="35">
        <f>IF(COUNT(F39:Q39)=0,"",SUM(F39:Q39))</f>
        <v/>
      </c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33" t="n"/>
      <c r="C40" s="33" t="n"/>
      <c r="D40" s="47" t="n"/>
      <c r="E40" s="47" t="n"/>
      <c r="F40" s="34" t="n"/>
      <c r="G40" s="34" t="n"/>
      <c r="H40" s="34" t="n"/>
      <c r="I40" s="34" t="n"/>
      <c r="J40" s="34" t="n"/>
      <c r="K40" s="34" t="n"/>
      <c r="L40" s="34" t="n"/>
      <c r="M40" s="34" t="n"/>
      <c r="N40" s="34" t="n"/>
      <c r="O40" s="34" t="n"/>
      <c r="P40" s="34" t="n"/>
      <c r="Q40" s="34" t="n"/>
      <c r="R40" s="35">
        <f>IF(COUNT(F40:Q40)=0,"",SUM(F40:Q40))</f>
        <v/>
      </c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36" t="n"/>
      <c r="C41" s="36" t="n"/>
      <c r="D41" s="46" t="n"/>
      <c r="E41" s="46" t="n"/>
      <c r="F41" s="37" t="n"/>
      <c r="G41" s="37" t="n"/>
      <c r="H41" s="37" t="n"/>
      <c r="I41" s="37" t="n"/>
      <c r="J41" s="37" t="n"/>
      <c r="K41" s="37" t="n"/>
      <c r="L41" s="37" t="n"/>
      <c r="M41" s="37" t="n"/>
      <c r="N41" s="37" t="n"/>
      <c r="O41" s="37" t="n"/>
      <c r="P41" s="37" t="n"/>
      <c r="Q41" s="37" t="n"/>
      <c r="R41" s="35">
        <f>IF(COUNT(F41:Q41)=0,"",SUM(F41:Q41))</f>
        <v/>
      </c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33" t="n"/>
      <c r="C42" s="33" t="n"/>
      <c r="D42" s="47" t="n"/>
      <c r="E42" s="47" t="n"/>
      <c r="F42" s="34" t="n"/>
      <c r="G42" s="34" t="n"/>
      <c r="H42" s="34" t="n"/>
      <c r="I42" s="34" t="n"/>
      <c r="J42" s="34" t="n"/>
      <c r="K42" s="34" t="n"/>
      <c r="L42" s="34" t="n"/>
      <c r="M42" s="34" t="n"/>
      <c r="N42" s="34" t="n"/>
      <c r="O42" s="34" t="n"/>
      <c r="P42" s="34" t="n"/>
      <c r="Q42" s="34" t="n"/>
      <c r="R42" s="35">
        <f>IF(COUNT(F42:Q42)=0,"",SUM(F42:Q42))</f>
        <v/>
      </c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36" t="n"/>
      <c r="C43" s="36" t="n"/>
      <c r="D43" s="46" t="n"/>
      <c r="E43" s="46" t="n"/>
      <c r="F43" s="37" t="n"/>
      <c r="G43" s="37" t="n"/>
      <c r="H43" s="37" t="n"/>
      <c r="I43" s="37" t="n"/>
      <c r="J43" s="37" t="n"/>
      <c r="K43" s="37" t="n"/>
      <c r="L43" s="37" t="n"/>
      <c r="M43" s="37" t="n"/>
      <c r="N43" s="37" t="n"/>
      <c r="O43" s="37" t="n"/>
      <c r="P43" s="37" t="n"/>
      <c r="Q43" s="37" t="n"/>
      <c r="R43" s="35">
        <f>IF(COUNT(F43:Q43)=0,"",SUM(F43:Q43))</f>
        <v/>
      </c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33" t="n"/>
      <c r="C44" s="33" t="n"/>
      <c r="D44" s="47" t="n"/>
      <c r="E44" s="47" t="n"/>
      <c r="F44" s="34" t="n"/>
      <c r="G44" s="34" t="n"/>
      <c r="H44" s="34" t="n"/>
      <c r="I44" s="34" t="n"/>
      <c r="J44" s="34" t="n"/>
      <c r="K44" s="34" t="n"/>
      <c r="L44" s="34" t="n"/>
      <c r="M44" s="34" t="n"/>
      <c r="N44" s="34" t="n"/>
      <c r="O44" s="34" t="n"/>
      <c r="P44" s="34" t="n"/>
      <c r="Q44" s="34" t="n"/>
      <c r="R44" s="35">
        <f>IF(COUNT(F44:Q44)=0,"",SUM(F44:Q44))</f>
        <v/>
      </c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36" t="n"/>
      <c r="C45" s="36" t="n"/>
      <c r="D45" s="46" t="n"/>
      <c r="E45" s="46" t="n"/>
      <c r="F45" s="37" t="n"/>
      <c r="G45" s="37" t="n"/>
      <c r="H45" s="37" t="n"/>
      <c r="I45" s="37" t="n"/>
      <c r="J45" s="37" t="n"/>
      <c r="K45" s="37" t="n"/>
      <c r="L45" s="37" t="n"/>
      <c r="M45" s="37" t="n"/>
      <c r="N45" s="37" t="n"/>
      <c r="O45" s="37" t="n"/>
      <c r="P45" s="37" t="n"/>
      <c r="Q45" s="37" t="n"/>
      <c r="R45" s="35">
        <f>IF(COUNT(F45:Q45)=0,"",SUM(F45:Q45))</f>
        <v/>
      </c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33" t="n"/>
      <c r="C46" s="33" t="n"/>
      <c r="D46" s="47" t="n"/>
      <c r="E46" s="47" t="n"/>
      <c r="F46" s="34" t="n"/>
      <c r="G46" s="34" t="n"/>
      <c r="H46" s="34" t="n"/>
      <c r="I46" s="34" t="n"/>
      <c r="J46" s="34" t="n"/>
      <c r="K46" s="34" t="n"/>
      <c r="L46" s="34" t="n"/>
      <c r="M46" s="34" t="n"/>
      <c r="N46" s="34" t="n"/>
      <c r="O46" s="34" t="n"/>
      <c r="P46" s="34" t="n"/>
      <c r="Q46" s="34" t="n"/>
      <c r="R46" s="35">
        <f>IF(COUNT(F46:Q46)=0,"",SUM(F46:Q46))</f>
        <v/>
      </c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36" t="n"/>
      <c r="C47" s="36" t="n"/>
      <c r="D47" s="46" t="n"/>
      <c r="E47" s="46" t="n"/>
      <c r="F47" s="37" t="n"/>
      <c r="G47" s="37" t="n"/>
      <c r="H47" s="37" t="n"/>
      <c r="I47" s="37" t="n"/>
      <c r="J47" s="37" t="n"/>
      <c r="K47" s="37" t="n"/>
      <c r="L47" s="37" t="n"/>
      <c r="M47" s="37" t="n"/>
      <c r="N47" s="37" t="n"/>
      <c r="O47" s="37" t="n"/>
      <c r="P47" s="37" t="n"/>
      <c r="Q47" s="37" t="n"/>
      <c r="R47" s="35">
        <f>IF(COUNT(F47:Q47)=0,"",SUM(F47:Q47))</f>
        <v/>
      </c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33" t="n"/>
      <c r="C48" s="33" t="n"/>
      <c r="D48" s="47" t="n"/>
      <c r="E48" s="47" t="n"/>
      <c r="F48" s="34" t="n"/>
      <c r="G48" s="34" t="n"/>
      <c r="H48" s="34" t="n"/>
      <c r="I48" s="34" t="n"/>
      <c r="J48" s="34" t="n"/>
      <c r="K48" s="34" t="n"/>
      <c r="L48" s="34" t="n"/>
      <c r="M48" s="34" t="n"/>
      <c r="N48" s="34" t="n"/>
      <c r="O48" s="34" t="n"/>
      <c r="P48" s="34" t="n"/>
      <c r="Q48" s="34" t="n"/>
      <c r="R48" s="35">
        <f>IF(COUNT(F48:Q48)=0,"",SUM(F48:Q48))</f>
        <v/>
      </c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36" t="n"/>
      <c r="C49" s="36" t="n"/>
      <c r="D49" s="46" t="n"/>
      <c r="E49" s="46" t="n"/>
      <c r="F49" s="37" t="n"/>
      <c r="G49" s="37" t="n"/>
      <c r="H49" s="37" t="n"/>
      <c r="I49" s="37" t="n"/>
      <c r="J49" s="37" t="n"/>
      <c r="K49" s="37" t="n"/>
      <c r="L49" s="37" t="n"/>
      <c r="M49" s="37" t="n"/>
      <c r="N49" s="37" t="n"/>
      <c r="O49" s="37" t="n"/>
      <c r="P49" s="37" t="n"/>
      <c r="Q49" s="37" t="n"/>
      <c r="R49" s="35">
        <f>IF(COUNT(F49:Q49)=0,"",SUM(F49:Q49))</f>
        <v/>
      </c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33" t="n"/>
      <c r="C50" s="33" t="n"/>
      <c r="D50" s="47" t="n"/>
      <c r="E50" s="47" t="n"/>
      <c r="F50" s="34" t="n"/>
      <c r="G50" s="34" t="n"/>
      <c r="H50" s="34" t="n"/>
      <c r="I50" s="34" t="n"/>
      <c r="J50" s="34" t="n"/>
      <c r="K50" s="34" t="n"/>
      <c r="L50" s="34" t="n"/>
      <c r="M50" s="34" t="n"/>
      <c r="N50" s="34" t="n"/>
      <c r="O50" s="34" t="n"/>
      <c r="P50" s="34" t="n"/>
      <c r="Q50" s="34" t="n"/>
      <c r="R50" s="35">
        <f>IF(COUNT(F50:Q50)=0,"",SUM(F50:Q50))</f>
        <v/>
      </c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36" t="n"/>
      <c r="C51" s="36" t="n"/>
      <c r="D51" s="46" t="n"/>
      <c r="E51" s="46" t="n"/>
      <c r="F51" s="37" t="n"/>
      <c r="G51" s="37" t="n"/>
      <c r="H51" s="37" t="n"/>
      <c r="I51" s="37" t="n"/>
      <c r="J51" s="37" t="n"/>
      <c r="K51" s="37" t="n"/>
      <c r="L51" s="37" t="n"/>
      <c r="M51" s="37" t="n"/>
      <c r="N51" s="37" t="n"/>
      <c r="O51" s="37" t="n"/>
      <c r="P51" s="37" t="n"/>
      <c r="Q51" s="37" t="n"/>
      <c r="R51" s="35">
        <f>IF(COUNT(F51:Q51)=0,"",SUM(F51:Q51))</f>
        <v/>
      </c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33" t="n"/>
      <c r="C52" s="33" t="n"/>
      <c r="D52" s="47" t="n"/>
      <c r="E52" s="47" t="n"/>
      <c r="F52" s="34" t="n"/>
      <c r="G52" s="34" t="n"/>
      <c r="H52" s="34" t="n"/>
      <c r="I52" s="34" t="n"/>
      <c r="J52" s="34" t="n"/>
      <c r="K52" s="34" t="n"/>
      <c r="L52" s="34" t="n"/>
      <c r="M52" s="34" t="n"/>
      <c r="N52" s="34" t="n"/>
      <c r="O52" s="34" t="n"/>
      <c r="P52" s="34" t="n"/>
      <c r="Q52" s="34" t="n"/>
      <c r="R52" s="35">
        <f>IF(COUNT(F52:Q52)=0,"",SUM(F52:Q52))</f>
        <v/>
      </c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36" t="n"/>
      <c r="C53" s="36" t="n"/>
      <c r="D53" s="46" t="n"/>
      <c r="E53" s="46" t="n"/>
      <c r="F53" s="37" t="n"/>
      <c r="G53" s="37" t="n"/>
      <c r="H53" s="37" t="n"/>
      <c r="I53" s="37" t="n"/>
      <c r="J53" s="37" t="n"/>
      <c r="K53" s="37" t="n"/>
      <c r="L53" s="37" t="n"/>
      <c r="M53" s="37" t="n"/>
      <c r="N53" s="37" t="n"/>
      <c r="O53" s="37" t="n"/>
      <c r="P53" s="37" t="n"/>
      <c r="Q53" s="37" t="n"/>
      <c r="R53" s="35">
        <f>IF(COUNT(F53:Q53)=0,"",SUM(F53:Q53))</f>
        <v/>
      </c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33" t="n"/>
      <c r="C54" s="33" t="n"/>
      <c r="D54" s="47" t="n"/>
      <c r="E54" s="47" t="n"/>
      <c r="F54" s="34" t="n"/>
      <c r="G54" s="34" t="n"/>
      <c r="H54" s="34" t="n"/>
      <c r="I54" s="34" t="n"/>
      <c r="J54" s="34" t="n"/>
      <c r="K54" s="34" t="n"/>
      <c r="L54" s="34" t="n"/>
      <c r="M54" s="34" t="n"/>
      <c r="N54" s="34" t="n"/>
      <c r="O54" s="34" t="n"/>
      <c r="P54" s="34" t="n"/>
      <c r="Q54" s="34" t="n"/>
      <c r="R54" s="35">
        <f>IF(COUNT(F54:Q54)=0,"",SUM(F54:Q54))</f>
        <v/>
      </c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36" t="n"/>
      <c r="C55" s="36" t="n"/>
      <c r="D55" s="46" t="n"/>
      <c r="E55" s="46" t="n"/>
      <c r="F55" s="37" t="n"/>
      <c r="G55" s="37" t="n"/>
      <c r="H55" s="37" t="n"/>
      <c r="I55" s="37" t="n"/>
      <c r="J55" s="37" t="n"/>
      <c r="K55" s="37" t="n"/>
      <c r="L55" s="37" t="n"/>
      <c r="M55" s="37" t="n"/>
      <c r="N55" s="37" t="n"/>
      <c r="O55" s="37" t="n"/>
      <c r="P55" s="37" t="n"/>
      <c r="Q55" s="37" t="n"/>
      <c r="R55" s="35">
        <f>IF(COUNT(F55:Q55)=0,"",SUM(F55:Q55))</f>
        <v/>
      </c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33" t="n"/>
      <c r="C56" s="33" t="n"/>
      <c r="D56" s="47" t="n"/>
      <c r="E56" s="47" t="n"/>
      <c r="F56" s="34" t="n"/>
      <c r="G56" s="34" t="n"/>
      <c r="H56" s="34" t="n"/>
      <c r="I56" s="34" t="n"/>
      <c r="J56" s="34" t="n"/>
      <c r="K56" s="34" t="n"/>
      <c r="L56" s="34" t="n"/>
      <c r="M56" s="34" t="n"/>
      <c r="N56" s="34" t="n"/>
      <c r="O56" s="34" t="n"/>
      <c r="P56" s="34" t="n"/>
      <c r="Q56" s="34" t="n"/>
      <c r="R56" s="35">
        <f>IF(COUNT(F56:Q56)=0,"",SUM(F56:Q56))</f>
        <v/>
      </c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36" t="n"/>
      <c r="C57" s="36" t="n"/>
      <c r="D57" s="46" t="n"/>
      <c r="E57" s="46" t="n"/>
      <c r="F57" s="37" t="n"/>
      <c r="G57" s="37" t="n"/>
      <c r="H57" s="37" t="n"/>
      <c r="I57" s="37" t="n"/>
      <c r="J57" s="37" t="n"/>
      <c r="K57" s="37" t="n"/>
      <c r="L57" s="37" t="n"/>
      <c r="M57" s="37" t="n"/>
      <c r="N57" s="37" t="n"/>
      <c r="O57" s="37" t="n"/>
      <c r="P57" s="37" t="n"/>
      <c r="Q57" s="37" t="n"/>
      <c r="R57" s="35">
        <f>IF(COUNT(F57:Q57)=0,"",SUM(F57:Q57))</f>
        <v/>
      </c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33" t="n"/>
      <c r="C58" s="33" t="n"/>
      <c r="D58" s="47" t="n"/>
      <c r="E58" s="47" t="n"/>
      <c r="F58" s="34" t="n"/>
      <c r="G58" s="34" t="n"/>
      <c r="H58" s="34" t="n"/>
      <c r="I58" s="34" t="n"/>
      <c r="J58" s="34" t="n"/>
      <c r="K58" s="34" t="n"/>
      <c r="L58" s="34" t="n"/>
      <c r="M58" s="34" t="n"/>
      <c r="N58" s="34" t="n"/>
      <c r="O58" s="34" t="n"/>
      <c r="P58" s="34" t="n"/>
      <c r="Q58" s="34" t="n"/>
      <c r="R58" s="35">
        <f>IF(COUNT(F58:Q58)=0,"",SUM(F58:Q58))</f>
        <v/>
      </c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36" t="n"/>
      <c r="C59" s="36" t="n"/>
      <c r="D59" s="46" t="n"/>
      <c r="E59" s="46" t="n"/>
      <c r="F59" s="37" t="n"/>
      <c r="G59" s="37" t="n"/>
      <c r="H59" s="37" t="n"/>
      <c r="I59" s="37" t="n"/>
      <c r="J59" s="37" t="n"/>
      <c r="K59" s="37" t="n"/>
      <c r="L59" s="37" t="n"/>
      <c r="M59" s="37" t="n"/>
      <c r="N59" s="37" t="n"/>
      <c r="O59" s="37" t="n"/>
      <c r="P59" s="37" t="n"/>
      <c r="Q59" s="37" t="n"/>
      <c r="R59" s="35">
        <f>IF(COUNT(F59:Q59)=0,"",SUM(F59:Q59))</f>
        <v/>
      </c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33" t="n"/>
      <c r="C60" s="33" t="n"/>
      <c r="D60" s="47" t="n"/>
      <c r="E60" s="47" t="n"/>
      <c r="F60" s="34" t="n"/>
      <c r="G60" s="34" t="n"/>
      <c r="H60" s="34" t="n"/>
      <c r="I60" s="34" t="n"/>
      <c r="J60" s="34" t="n"/>
      <c r="K60" s="34" t="n"/>
      <c r="L60" s="34" t="n"/>
      <c r="M60" s="34" t="n"/>
      <c r="N60" s="34" t="n"/>
      <c r="O60" s="34" t="n"/>
      <c r="P60" s="34" t="n"/>
      <c r="Q60" s="34" t="n"/>
      <c r="R60" s="35">
        <f>IF(COUNT(F60:Q60)=0,"",SUM(F60:Q60))</f>
        <v/>
      </c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36" t="n"/>
      <c r="C61" s="36" t="n"/>
      <c r="D61" s="46" t="n"/>
      <c r="E61" s="46" t="n"/>
      <c r="F61" s="37" t="n"/>
      <c r="G61" s="37" t="n"/>
      <c r="H61" s="37" t="n"/>
      <c r="I61" s="37" t="n"/>
      <c r="J61" s="37" t="n"/>
      <c r="K61" s="37" t="n"/>
      <c r="L61" s="37" t="n"/>
      <c r="M61" s="37" t="n"/>
      <c r="N61" s="37" t="n"/>
      <c r="O61" s="37" t="n"/>
      <c r="P61" s="37" t="n"/>
      <c r="Q61" s="37" t="n"/>
      <c r="R61" s="35">
        <f>IF(COUNT(F61:Q61)=0,"",SUM(F61:Q61))</f>
        <v/>
      </c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33" t="n"/>
      <c r="C62" s="33" t="n"/>
      <c r="D62" s="47" t="n"/>
      <c r="E62" s="47" t="n"/>
      <c r="F62" s="34" t="n"/>
      <c r="G62" s="34" t="n"/>
      <c r="H62" s="34" t="n"/>
      <c r="I62" s="34" t="n"/>
      <c r="J62" s="34" t="n"/>
      <c r="K62" s="34" t="n"/>
      <c r="L62" s="34" t="n"/>
      <c r="M62" s="34" t="n"/>
      <c r="N62" s="34" t="n"/>
      <c r="O62" s="34" t="n"/>
      <c r="P62" s="34" t="n"/>
      <c r="Q62" s="34" t="n"/>
      <c r="R62" s="35">
        <f>IF(COUNT(F62:Q62)=0,"",SUM(F62:Q62))</f>
        <v/>
      </c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36" t="n"/>
      <c r="C63" s="36" t="n"/>
      <c r="D63" s="46" t="n"/>
      <c r="E63" s="46" t="n"/>
      <c r="F63" s="37" t="n"/>
      <c r="G63" s="37" t="n"/>
      <c r="H63" s="37" t="n"/>
      <c r="I63" s="37" t="n"/>
      <c r="J63" s="37" t="n"/>
      <c r="K63" s="37" t="n"/>
      <c r="L63" s="37" t="n"/>
      <c r="M63" s="37" t="n"/>
      <c r="N63" s="37" t="n"/>
      <c r="O63" s="37" t="n"/>
      <c r="P63" s="37" t="n"/>
      <c r="Q63" s="37" t="n"/>
      <c r="R63" s="35">
        <f>IF(COUNT(F63:Q63)=0,"",SUM(F63:Q63))</f>
        <v/>
      </c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33" t="n"/>
      <c r="C64" s="33" t="n"/>
      <c r="D64" s="47" t="n"/>
      <c r="E64" s="47" t="n"/>
      <c r="F64" s="34" t="n"/>
      <c r="G64" s="34" t="n"/>
      <c r="H64" s="34" t="n"/>
      <c r="I64" s="34" t="n"/>
      <c r="J64" s="34" t="n"/>
      <c r="K64" s="34" t="n"/>
      <c r="L64" s="34" t="n"/>
      <c r="M64" s="34" t="n"/>
      <c r="N64" s="34" t="n"/>
      <c r="O64" s="34" t="n"/>
      <c r="P64" s="34" t="n"/>
      <c r="Q64" s="34" t="n"/>
      <c r="R64" s="35">
        <f>IF(COUNT(F64:Q64)=0,"",SUM(F64:Q64))</f>
        <v/>
      </c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36" t="n"/>
      <c r="C65" s="36" t="n"/>
      <c r="D65" s="46" t="n"/>
      <c r="E65" s="46" t="n"/>
      <c r="F65" s="37" t="n"/>
      <c r="G65" s="37" t="n"/>
      <c r="H65" s="37" t="n"/>
      <c r="I65" s="37" t="n"/>
      <c r="J65" s="37" t="n"/>
      <c r="K65" s="37" t="n"/>
      <c r="L65" s="37" t="n"/>
      <c r="M65" s="37" t="n"/>
      <c r="N65" s="37" t="n"/>
      <c r="O65" s="37" t="n"/>
      <c r="P65" s="37" t="n"/>
      <c r="Q65" s="37" t="n"/>
      <c r="R65" s="35">
        <f>IF(COUNT(F65:Q65)=0,"",SUM(F65:Q65))</f>
        <v/>
      </c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33" t="n"/>
      <c r="C66" s="33" t="n"/>
      <c r="D66" s="47" t="n"/>
      <c r="E66" s="47" t="n"/>
      <c r="F66" s="34" t="n"/>
      <c r="G66" s="34" t="n"/>
      <c r="H66" s="34" t="n"/>
      <c r="I66" s="34" t="n"/>
      <c r="J66" s="34" t="n"/>
      <c r="K66" s="34" t="n"/>
      <c r="L66" s="34" t="n"/>
      <c r="M66" s="34" t="n"/>
      <c r="N66" s="34" t="n"/>
      <c r="O66" s="34" t="n"/>
      <c r="P66" s="34" t="n"/>
      <c r="Q66" s="34" t="n"/>
      <c r="R66" s="35">
        <f>IF(COUNT(F66:Q66)=0,"",SUM(F66:Q66))</f>
        <v/>
      </c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 ht="22" customHeight="1">
      <c r="A67" s="1" t="n"/>
      <c r="B67" s="24" t="inlineStr">
        <is>
          <t>TOTAL</t>
        </is>
      </c>
      <c r="C67" s="24" t="n"/>
      <c r="D67" s="24" t="n"/>
      <c r="E67" s="24" t="n"/>
      <c r="F67" s="28">
        <f>SUM(F6:F66)</f>
        <v/>
      </c>
      <c r="G67" s="28">
        <f>SUM(G6:G66)</f>
        <v/>
      </c>
      <c r="H67" s="28">
        <f>SUM(H6:H66)</f>
        <v/>
      </c>
      <c r="I67" s="28">
        <f>SUM(I6:I66)</f>
        <v/>
      </c>
      <c r="J67" s="28">
        <f>SUM(J6:J66)</f>
        <v/>
      </c>
      <c r="K67" s="28">
        <f>SUM(K6:K66)</f>
        <v/>
      </c>
      <c r="L67" s="28">
        <f>SUM(L6:L66)</f>
        <v/>
      </c>
      <c r="M67" s="28">
        <f>SUM(M6:M66)</f>
        <v/>
      </c>
      <c r="N67" s="28">
        <f>SUM(N6:N66)</f>
        <v/>
      </c>
      <c r="O67" s="28">
        <f>SUM(O6:O66)</f>
        <v/>
      </c>
      <c r="P67" s="28">
        <f>SUM(P6:P66)</f>
        <v/>
      </c>
      <c r="Q67" s="28">
        <f>SUM(Q6:Q66)</f>
        <v/>
      </c>
      <c r="R67" s="28">
        <f>SUM(R6:R66)</f>
        <v/>
      </c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2:R2"/>
    <mergeCell ref="B3:R3"/>
  </mergeCells>
  <conditionalFormatting sqref="D6:D66">
    <cfRule type="expression" priority="1" dxfId="5">
      <formula>$D6="Fixed"</formula>
    </cfRule>
  </conditionalFormatting>
  <dataValidations count="2">
    <dataValidation sqref="C7:C66" showDropDown="0" showInputMessage="0" showErrorMessage="0" allowBlank="1" type="list">
      <formula1>=Lists!$A$2:$A$18</formula1>
    </dataValidation>
    <dataValidation sqref="D7:D66" showDropDown="0" showInputMessage="0" showErrorMessage="0" allowBlank="1" type="list">
      <formula1>=Lists!$B$2:$B$3</formula1>
    </dataValidation>
  </dataValidations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5" customWidth="1" min="4" max="4"/>
    <col width="15" customWidth="1" min="5" max="5"/>
    <col width="13" customWidth="1" min="6" max="6"/>
    <col width="15" customWidth="1" min="7" max="7"/>
    <col width="13" customWidth="1" min="8" max="8"/>
    <col width="16" customWidth="1" min="9" max="9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Reserve Goals</t>
        </is>
      </c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Cash reserves, tax set-asides and equipment funds. Progress and monthly amount needed update automatically.</t>
        </is>
      </c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Goal</t>
        </is>
      </c>
      <c r="C5" s="13" t="inlineStr">
        <is>
          <t>Target</t>
        </is>
      </c>
      <c r="D5" s="13" t="inlineStr">
        <is>
          <t>Saved So Far</t>
        </is>
      </c>
      <c r="E5" s="13" t="inlineStr">
        <is>
          <t>Remaining</t>
        </is>
      </c>
      <c r="F5" s="13" t="inlineStr">
        <is>
          <t>Progress</t>
        </is>
      </c>
      <c r="G5" s="13" t="inlineStr">
        <is>
          <t>Target Date</t>
        </is>
      </c>
      <c r="H5" s="13" t="inlineStr">
        <is>
          <t>Months Left</t>
        </is>
      </c>
      <c r="I5" s="13" t="inlineStr">
        <is>
          <t>Needed / Month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3" t="inlineStr">
        <is>
          <t>Cash Reserve (3 months)</t>
        </is>
      </c>
      <c r="C6" s="34" t="n">
        <v>45000</v>
      </c>
      <c r="D6" s="34" t="n">
        <v>18000</v>
      </c>
      <c r="E6" s="45">
        <f>IF(C6="","",MAX(0,C6-D6))</f>
        <v/>
      </c>
      <c r="F6" s="48">
        <f>IF(C6="","",IFERROR(MIN(1,D6/C6),0))</f>
        <v/>
      </c>
      <c r="G6" s="49" t="n">
        <v>46387</v>
      </c>
      <c r="H6" s="50">
        <f>IF(G6="","",IFERROR(MAX(0,DATEDIF(TODAY(),G6,"m")),0))</f>
        <v/>
      </c>
      <c r="I6" s="45">
        <f>IF(OR(E6="",H6=""),"",E6/MAX(1,H6))</f>
        <v/>
      </c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Tax Set-Aside</t>
        </is>
      </c>
      <c r="C7" s="37" t="n">
        <v>18000</v>
      </c>
      <c r="D7" s="37" t="n">
        <v>4500</v>
      </c>
      <c r="E7" s="45">
        <f>IF(C7="","",MAX(0,C7-D7))</f>
        <v/>
      </c>
      <c r="F7" s="48">
        <f>IF(C7="","",IFERROR(MIN(1,D7/C7),0))</f>
        <v/>
      </c>
      <c r="G7" s="51" t="n">
        <v>46492</v>
      </c>
      <c r="H7" s="50">
        <f>IF(G7="","",IFERROR(MAX(0,DATEDIF(TODAY(),G7,"m")),0))</f>
        <v/>
      </c>
      <c r="I7" s="45">
        <f>IF(OR(E7="",H7=""),"",E7/MAX(1,H7))</f>
        <v/>
      </c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3" t="n"/>
      <c r="C8" s="34" t="n"/>
      <c r="D8" s="34" t="n"/>
      <c r="E8" s="45">
        <f>IF(C8="","",MAX(0,C8-D8))</f>
        <v/>
      </c>
      <c r="F8" s="48">
        <f>IF(C8="","",IFERROR(MIN(1,D8/C8),0))</f>
        <v/>
      </c>
      <c r="G8" s="49" t="n"/>
      <c r="H8" s="50">
        <f>IF(G8="","",IFERROR(MAX(0,DATEDIF(TODAY(),G8,"m")),0))</f>
        <v/>
      </c>
      <c r="I8" s="45">
        <f>IF(OR(E8="",H8=""),"",E8/MAX(1,H8))</f>
        <v/>
      </c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n"/>
      <c r="C9" s="37" t="n"/>
      <c r="D9" s="37" t="n"/>
      <c r="E9" s="45">
        <f>IF(C9="","",MAX(0,C9-D9))</f>
        <v/>
      </c>
      <c r="F9" s="48">
        <f>IF(C9="","",IFERROR(MIN(1,D9/C9),0))</f>
        <v/>
      </c>
      <c r="G9" s="51" t="n"/>
      <c r="H9" s="50">
        <f>IF(G9="","",IFERROR(MAX(0,DATEDIF(TODAY(),G9,"m")),0))</f>
        <v/>
      </c>
      <c r="I9" s="45">
        <f>IF(OR(E9="",H9=""),"",E9/MAX(1,H9))</f>
        <v/>
      </c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3" t="n"/>
      <c r="C10" s="34" t="n"/>
      <c r="D10" s="34" t="n"/>
      <c r="E10" s="45">
        <f>IF(C10="","",MAX(0,C10-D10))</f>
        <v/>
      </c>
      <c r="F10" s="48">
        <f>IF(C10="","",IFERROR(MIN(1,D10/C10),0))</f>
        <v/>
      </c>
      <c r="G10" s="49" t="n"/>
      <c r="H10" s="50">
        <f>IF(G10="","",IFERROR(MAX(0,DATEDIF(TODAY(),G10,"m")),0))</f>
        <v/>
      </c>
      <c r="I10" s="45">
        <f>IF(OR(E10="",H10=""),"",E10/MAX(1,H10))</f>
        <v/>
      </c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n"/>
      <c r="C11" s="37" t="n"/>
      <c r="D11" s="37" t="n"/>
      <c r="E11" s="45">
        <f>IF(C11="","",MAX(0,C11-D11))</f>
        <v/>
      </c>
      <c r="F11" s="48">
        <f>IF(C11="","",IFERROR(MIN(1,D11/C11),0))</f>
        <v/>
      </c>
      <c r="G11" s="51" t="n"/>
      <c r="H11" s="50">
        <f>IF(G11="","",IFERROR(MAX(0,DATEDIF(TODAY(),G11,"m")),0))</f>
        <v/>
      </c>
      <c r="I11" s="45">
        <f>IF(OR(E11="",H11=""),"",E11/MAX(1,H11))</f>
        <v/>
      </c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3" t="n"/>
      <c r="C12" s="34" t="n"/>
      <c r="D12" s="34" t="n"/>
      <c r="E12" s="45">
        <f>IF(C12="","",MAX(0,C12-D12))</f>
        <v/>
      </c>
      <c r="F12" s="48">
        <f>IF(C12="","",IFERROR(MIN(1,D12/C12),0))</f>
        <v/>
      </c>
      <c r="G12" s="49" t="n"/>
      <c r="H12" s="50">
        <f>IF(G12="","",IFERROR(MAX(0,DATEDIF(TODAY(),G12,"m")),0))</f>
        <v/>
      </c>
      <c r="I12" s="45">
        <f>IF(OR(E12="",H12=""),"",E12/MAX(1,H12))</f>
        <v/>
      </c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n"/>
      <c r="C13" s="37" t="n"/>
      <c r="D13" s="37" t="n"/>
      <c r="E13" s="45">
        <f>IF(C13="","",MAX(0,C13-D13))</f>
        <v/>
      </c>
      <c r="F13" s="48">
        <f>IF(C13="","",IFERROR(MIN(1,D13/C13),0))</f>
        <v/>
      </c>
      <c r="G13" s="51" t="n"/>
      <c r="H13" s="50">
        <f>IF(G13="","",IFERROR(MAX(0,DATEDIF(TODAY(),G13,"m")),0))</f>
        <v/>
      </c>
      <c r="I13" s="45">
        <f>IF(OR(E13="",H13=""),"",E13/MAX(1,H13))</f>
        <v/>
      </c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3" t="n"/>
      <c r="C14" s="34" t="n"/>
      <c r="D14" s="34" t="n"/>
      <c r="E14" s="45">
        <f>IF(C14="","",MAX(0,C14-D14))</f>
        <v/>
      </c>
      <c r="F14" s="48">
        <f>IF(C14="","",IFERROR(MIN(1,D14/C14),0))</f>
        <v/>
      </c>
      <c r="G14" s="49" t="n"/>
      <c r="H14" s="50">
        <f>IF(G14="","",IFERROR(MAX(0,DATEDIF(TODAY(),G14,"m")),0))</f>
        <v/>
      </c>
      <c r="I14" s="45">
        <f>IF(OR(E14="",H14=""),"",E14/MAX(1,H14))</f>
        <v/>
      </c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n"/>
      <c r="C15" s="37" t="n"/>
      <c r="D15" s="37" t="n"/>
      <c r="E15" s="45">
        <f>IF(C15="","",MAX(0,C15-D15))</f>
        <v/>
      </c>
      <c r="F15" s="48">
        <f>IF(C15="","",IFERROR(MIN(1,D15/C15),0))</f>
        <v/>
      </c>
      <c r="G15" s="51" t="n"/>
      <c r="H15" s="50">
        <f>IF(G15="","",IFERROR(MAX(0,DATEDIF(TODAY(),G15,"m")),0))</f>
        <v/>
      </c>
      <c r="I15" s="45">
        <f>IF(OR(E15="",H15=""),"",E15/MAX(1,H15))</f>
        <v/>
      </c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22" customHeight="1">
      <c r="A16" s="1" t="n"/>
      <c r="B16" s="24" t="inlineStr">
        <is>
          <t>TOTAL</t>
        </is>
      </c>
      <c r="C16" s="28">
        <f>SUM(C6:C15)</f>
        <v/>
      </c>
      <c r="D16" s="28">
        <f>SUM(D6:D15)</f>
        <v/>
      </c>
      <c r="E16" s="28">
        <f>SUM(E6:E15)</f>
        <v/>
      </c>
      <c r="F16" s="29">
        <f>IFERROR(D16/C16,0)</f>
        <v/>
      </c>
      <c r="G16" s="24" t="n"/>
      <c r="H16" s="24" t="n"/>
      <c r="I16" s="24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I3"/>
    <mergeCell ref="B2:I2"/>
  </mergeCells>
  <conditionalFormatting sqref="F6:F15">
    <cfRule type="dataBar" priority="1">
      <dataBar minLength="0" maxLength="30">
        <cfvo type="num" val="0"/>
        <cfvo type="num" val="1"/>
        <color rgb="0014B8A6"/>
      </dataBar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tabColor rgb="0014B8A6"/>
    <outlinePr summaryBelow="1" summaryRight="1"/>
    <pageSetUpPr fitToPage="1"/>
  </sheetPr>
  <dimension ref="A1:AD200"/>
  <sheetViews>
    <sheetView showGridLines="0" tabSelected="0"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" customWidth="1" min="1" max="1"/>
    <col width="28" customWidth="1" min="2" max="2"/>
    <col width="15" customWidth="1" min="3" max="3"/>
    <col width="10" customWidth="1" min="4" max="4"/>
    <col width="15" customWidth="1" min="5" max="5"/>
    <col width="16" customWidth="1" min="6" max="6"/>
    <col width="15" customWidth="1" min="7" max="7"/>
    <col width="15" customWidth="1" min="8" max="8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</row>
    <row r="2" ht="36" customHeight="1">
      <c r="A2" s="1" t="n"/>
      <c r="B2" s="2" t="inlineStr">
        <is>
          <t>Loans &amp; Credit</t>
        </is>
      </c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</row>
    <row r="3" ht="18" customHeight="1">
      <c r="A3" s="1" t="n"/>
      <c r="B3" s="3" t="inlineStr">
        <is>
          <t>Payoff time assumes the minimum payment every month with no new draws.</t>
        </is>
      </c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</row>
    <row r="4">
      <c r="A4" s="1" t="n"/>
      <c r="B4" s="1" t="n"/>
      <c r="C4" s="1" t="n"/>
      <c r="D4" s="1" t="n"/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</row>
    <row r="5" ht="24" customHeight="1">
      <c r="A5" s="1" t="n"/>
      <c r="B5" s="13" t="inlineStr">
        <is>
          <t>Loan / Credit Line</t>
        </is>
      </c>
      <c r="C5" s="13" t="inlineStr">
        <is>
          <t>Balance</t>
        </is>
      </c>
      <c r="D5" s="13" t="inlineStr">
        <is>
          <t>APR %</t>
        </is>
      </c>
      <c r="E5" s="13" t="inlineStr">
        <is>
          <t>Min Payment</t>
        </is>
      </c>
      <c r="F5" s="13" t="inlineStr">
        <is>
          <t>Months to Payoff</t>
        </is>
      </c>
      <c r="G5" s="13" t="inlineStr">
        <is>
          <t>Est. Interest</t>
        </is>
      </c>
      <c r="H5" s="13" t="inlineStr">
        <is>
          <t>Payoff Date</t>
        </is>
      </c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</row>
    <row r="6">
      <c r="A6" s="1" t="n"/>
      <c r="B6" s="33" t="inlineStr">
        <is>
          <t>Business Credit Card</t>
        </is>
      </c>
      <c r="C6" s="34" t="n">
        <v>6400</v>
      </c>
      <c r="D6" s="52" t="n">
        <v>19.9</v>
      </c>
      <c r="E6" s="34" t="n">
        <v>220</v>
      </c>
      <c r="F6" s="53">
        <f>IF(OR(C6="",E6=""),"",IF(N(D6)=0,ROUNDUP(C6/E6,0),IFERROR(ROUNDUP(NPER(D6/1200,-E6,C6),0),"Never")))</f>
        <v/>
      </c>
      <c r="G6" s="54">
        <f>IF(ISNUMBER(F6),MAX(0,F6*E6-C6),"")</f>
        <v/>
      </c>
      <c r="H6" s="55">
        <f>IF(ISNUMBER(F6),EDATE(TODAY(),F6),"")</f>
        <v/>
      </c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</row>
    <row r="7">
      <c r="A7" s="1" t="n"/>
      <c r="B7" s="36" t="inlineStr">
        <is>
          <t>Equipment Loan</t>
        </is>
      </c>
      <c r="C7" s="37" t="n">
        <v>21000</v>
      </c>
      <c r="D7" s="56" t="n">
        <v>7.25</v>
      </c>
      <c r="E7" s="37" t="n">
        <v>640</v>
      </c>
      <c r="F7" s="53">
        <f>IF(OR(C7="",E7=""),"",IF(N(D7)=0,ROUNDUP(C7/E7,0),IFERROR(ROUNDUP(NPER(D7/1200,-E7,C7),0),"Never")))</f>
        <v/>
      </c>
      <c r="G7" s="54">
        <f>IF(ISNUMBER(F7),MAX(0,F7*E7-C7),"")</f>
        <v/>
      </c>
      <c r="H7" s="55">
        <f>IF(ISNUMBER(F7),EDATE(TODAY(),F7),"")</f>
        <v/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</row>
    <row r="8">
      <c r="A8" s="1" t="n"/>
      <c r="B8" s="33" t="n"/>
      <c r="C8" s="34" t="n"/>
      <c r="D8" s="52" t="n"/>
      <c r="E8" s="34" t="n"/>
      <c r="F8" s="53">
        <f>IF(OR(C8="",E8=""),"",IF(N(D8)=0,ROUNDUP(C8/E8,0),IFERROR(ROUNDUP(NPER(D8/1200,-E8,C8),0),"Never")))</f>
        <v/>
      </c>
      <c r="G8" s="54">
        <f>IF(ISNUMBER(F8),MAX(0,F8*E8-C8),"")</f>
        <v/>
      </c>
      <c r="H8" s="55">
        <f>IF(ISNUMBER(F8),EDATE(TODAY(),F8),"")</f>
        <v/>
      </c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</row>
    <row r="9">
      <c r="A9" s="1" t="n"/>
      <c r="B9" s="36" t="n"/>
      <c r="C9" s="37" t="n"/>
      <c r="D9" s="56" t="n"/>
      <c r="E9" s="37" t="n"/>
      <c r="F9" s="53">
        <f>IF(OR(C9="",E9=""),"",IF(N(D9)=0,ROUNDUP(C9/E9,0),IFERROR(ROUNDUP(NPER(D9/1200,-E9,C9),0),"Never")))</f>
        <v/>
      </c>
      <c r="G9" s="54">
        <f>IF(ISNUMBER(F9),MAX(0,F9*E9-C9),"")</f>
        <v/>
      </c>
      <c r="H9" s="55">
        <f>IF(ISNUMBER(F9),EDATE(TODAY(),F9),"")</f>
        <v/>
      </c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</row>
    <row r="10">
      <c r="A10" s="1" t="n"/>
      <c r="B10" s="33" t="n"/>
      <c r="C10" s="34" t="n"/>
      <c r="D10" s="52" t="n"/>
      <c r="E10" s="34" t="n"/>
      <c r="F10" s="53">
        <f>IF(OR(C10="",E10=""),"",IF(N(D10)=0,ROUNDUP(C10/E10,0),IFERROR(ROUNDUP(NPER(D10/1200,-E10,C10),0),"Never")))</f>
        <v/>
      </c>
      <c r="G10" s="54">
        <f>IF(ISNUMBER(F10),MAX(0,F10*E10-C10),"")</f>
        <v/>
      </c>
      <c r="H10" s="55">
        <f>IF(ISNUMBER(F10),EDATE(TODAY(),F10),"")</f>
        <v/>
      </c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</row>
    <row r="11">
      <c r="A11" s="1" t="n"/>
      <c r="B11" s="36" t="n"/>
      <c r="C11" s="37" t="n"/>
      <c r="D11" s="56" t="n"/>
      <c r="E11" s="37" t="n"/>
      <c r="F11" s="53">
        <f>IF(OR(C11="",E11=""),"",IF(N(D11)=0,ROUNDUP(C11/E11,0),IFERROR(ROUNDUP(NPER(D11/1200,-E11,C11),0),"Never")))</f>
        <v/>
      </c>
      <c r="G11" s="54">
        <f>IF(ISNUMBER(F11),MAX(0,F11*E11-C11),"")</f>
        <v/>
      </c>
      <c r="H11" s="55">
        <f>IF(ISNUMBER(F11),EDATE(TODAY(),F11),"")</f>
        <v/>
      </c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</row>
    <row r="12">
      <c r="A12" s="1" t="n"/>
      <c r="B12" s="33" t="n"/>
      <c r="C12" s="34" t="n"/>
      <c r="D12" s="52" t="n"/>
      <c r="E12" s="34" t="n"/>
      <c r="F12" s="53">
        <f>IF(OR(C12="",E12=""),"",IF(N(D12)=0,ROUNDUP(C12/E12,0),IFERROR(ROUNDUP(NPER(D12/1200,-E12,C12),0),"Never")))</f>
        <v/>
      </c>
      <c r="G12" s="54">
        <f>IF(ISNUMBER(F12),MAX(0,F12*E12-C12),"")</f>
        <v/>
      </c>
      <c r="H12" s="55">
        <f>IF(ISNUMBER(F12),EDATE(TODAY(),F12),"")</f>
        <v/>
      </c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</row>
    <row r="13">
      <c r="A13" s="1" t="n"/>
      <c r="B13" s="36" t="n"/>
      <c r="C13" s="37" t="n"/>
      <c r="D13" s="56" t="n"/>
      <c r="E13" s="37" t="n"/>
      <c r="F13" s="53">
        <f>IF(OR(C13="",E13=""),"",IF(N(D13)=0,ROUNDUP(C13/E13,0),IFERROR(ROUNDUP(NPER(D13/1200,-E13,C13),0),"Never")))</f>
        <v/>
      </c>
      <c r="G13" s="54">
        <f>IF(ISNUMBER(F13),MAX(0,F13*E13-C13),"")</f>
        <v/>
      </c>
      <c r="H13" s="55">
        <f>IF(ISNUMBER(F13),EDATE(TODAY(),F13),"")</f>
        <v/>
      </c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</row>
    <row r="14">
      <c r="A14" s="1" t="n"/>
      <c r="B14" s="33" t="n"/>
      <c r="C14" s="34" t="n"/>
      <c r="D14" s="52" t="n"/>
      <c r="E14" s="34" t="n"/>
      <c r="F14" s="53">
        <f>IF(OR(C14="",E14=""),"",IF(N(D14)=0,ROUNDUP(C14/E14,0),IFERROR(ROUNDUP(NPER(D14/1200,-E14,C14),0),"Never")))</f>
        <v/>
      </c>
      <c r="G14" s="54">
        <f>IF(ISNUMBER(F14),MAX(0,F14*E14-C14),"")</f>
        <v/>
      </c>
      <c r="H14" s="55">
        <f>IF(ISNUMBER(F14),EDATE(TODAY(),F14),"")</f>
        <v/>
      </c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</row>
    <row r="15">
      <c r="A15" s="1" t="n"/>
      <c r="B15" s="36" t="n"/>
      <c r="C15" s="37" t="n"/>
      <c r="D15" s="56" t="n"/>
      <c r="E15" s="37" t="n"/>
      <c r="F15" s="53">
        <f>IF(OR(C15="",E15=""),"",IF(N(D15)=0,ROUNDUP(C15/E15,0),IFERROR(ROUNDUP(NPER(D15/1200,-E15,C15),0),"Never")))</f>
        <v/>
      </c>
      <c r="G15" s="54">
        <f>IF(ISNUMBER(F15),MAX(0,F15*E15-C15),"")</f>
        <v/>
      </c>
      <c r="H15" s="55">
        <f>IF(ISNUMBER(F15),EDATE(TODAY(),F15),"")</f>
        <v/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</row>
    <row r="16" ht="22" customHeight="1">
      <c r="A16" s="1" t="n"/>
      <c r="B16" s="24" t="inlineStr">
        <is>
          <t>TOTAL</t>
        </is>
      </c>
      <c r="C16" s="28">
        <f>SUM(C6:C15)</f>
        <v/>
      </c>
      <c r="D16" s="24" t="n"/>
      <c r="E16" s="28">
        <f>SUM(E6:E15)</f>
        <v/>
      </c>
      <c r="F16" s="24" t="n"/>
      <c r="G16" s="24" t="n"/>
      <c r="H16" s="24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</row>
    <row r="18">
      <c r="A18" s="1" t="n"/>
      <c r="B18" s="1" t="n"/>
      <c r="C18" s="1" t="n"/>
      <c r="D18" s="1" t="n"/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</row>
    <row r="19">
      <c r="A19" s="1" t="n"/>
      <c r="B19" s="1" t="n"/>
      <c r="C19" s="1" t="n"/>
      <c r="D19" s="1" t="n"/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</row>
    <row r="20">
      <c r="A20" s="1" t="n"/>
      <c r="B20" s="1" t="n"/>
      <c r="C20" s="1" t="n"/>
      <c r="D20" s="1" t="n"/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</row>
    <row r="21">
      <c r="A21" s="1" t="n"/>
      <c r="B21" s="1" t="n"/>
      <c r="C21" s="1" t="n"/>
      <c r="D21" s="1" t="n"/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</row>
    <row r="22">
      <c r="A22" s="1" t="n"/>
      <c r="B22" s="1" t="n"/>
      <c r="C22" s="1" t="n"/>
      <c r="D22" s="1" t="n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</row>
    <row r="23">
      <c r="A23" s="1" t="n"/>
      <c r="B23" s="1" t="n"/>
      <c r="C23" s="1" t="n"/>
      <c r="D23" s="1" t="n"/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</row>
    <row r="24">
      <c r="A24" s="1" t="n"/>
      <c r="B24" s="1" t="n"/>
      <c r="C24" s="1" t="n"/>
      <c r="D24" s="1" t="n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  <c r="AA24" s="1" t="n"/>
      <c r="AB24" s="1" t="n"/>
      <c r="AC24" s="1" t="n"/>
      <c r="AD24" s="1" t="n"/>
    </row>
    <row r="25">
      <c r="A25" s="1" t="n"/>
      <c r="B25" s="1" t="n"/>
      <c r="C25" s="1" t="n"/>
      <c r="D25" s="1" t="n"/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</row>
    <row r="26">
      <c r="A26" s="1" t="n"/>
      <c r="B26" s="1" t="n"/>
      <c r="C26" s="1" t="n"/>
      <c r="D26" s="1" t="n"/>
      <c r="E26" s="1" t="n"/>
      <c r="F26" s="1" t="n"/>
      <c r="G26" s="1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</row>
    <row r="36">
      <c r="A36" s="1" t="n"/>
      <c r="B36" s="1" t="n"/>
      <c r="C36" s="1" t="n"/>
      <c r="D36" s="1" t="n"/>
      <c r="E36" s="1" t="n"/>
      <c r="F36" s="1" t="n"/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</row>
    <row r="37">
      <c r="A37" s="1" t="n"/>
      <c r="B37" s="1" t="n"/>
      <c r="C37" s="1" t="n"/>
      <c r="D37" s="1" t="n"/>
      <c r="E37" s="1" t="n"/>
      <c r="F37" s="1" t="n"/>
      <c r="G37" s="1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  <c r="AA69" s="1" t="n"/>
      <c r="AB69" s="1" t="n"/>
      <c r="AC69" s="1" t="n"/>
      <c r="AD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  <c r="AA70" s="1" t="n"/>
      <c r="AB70" s="1" t="n"/>
      <c r="AC70" s="1" t="n"/>
      <c r="AD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  <c r="AA71" s="1" t="n"/>
      <c r="AB71" s="1" t="n"/>
      <c r="AC71" s="1" t="n"/>
      <c r="AD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  <c r="AA72" s="1" t="n"/>
      <c r="AB72" s="1" t="n"/>
      <c r="AC72" s="1" t="n"/>
      <c r="AD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  <c r="AA73" s="1" t="n"/>
      <c r="AB73" s="1" t="n"/>
      <c r="AC73" s="1" t="n"/>
      <c r="AD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  <c r="AA74" s="1" t="n"/>
      <c r="AB74" s="1" t="n"/>
      <c r="AC74" s="1" t="n"/>
      <c r="AD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  <c r="AA75" s="1" t="n"/>
      <c r="AB75" s="1" t="n"/>
      <c r="AC75" s="1" t="n"/>
      <c r="AD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  <c r="AA76" s="1" t="n"/>
      <c r="AB76" s="1" t="n"/>
      <c r="AC76" s="1" t="n"/>
      <c r="AD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  <c r="AA77" s="1" t="n"/>
      <c r="AB77" s="1" t="n"/>
      <c r="AC77" s="1" t="n"/>
      <c r="AD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  <c r="AA78" s="1" t="n"/>
      <c r="AB78" s="1" t="n"/>
      <c r="AC78" s="1" t="n"/>
      <c r="AD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  <c r="AA79" s="1" t="n"/>
      <c r="AB79" s="1" t="n"/>
      <c r="AC79" s="1" t="n"/>
      <c r="AD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  <c r="AA80" s="1" t="n"/>
      <c r="AB80" s="1" t="n"/>
      <c r="AC80" s="1" t="n"/>
      <c r="AD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  <c r="AA81" s="1" t="n"/>
      <c r="AB81" s="1" t="n"/>
      <c r="AC81" s="1" t="n"/>
      <c r="AD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  <c r="AA82" s="1" t="n"/>
      <c r="AB82" s="1" t="n"/>
      <c r="AC82" s="1" t="n"/>
      <c r="AD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  <c r="AA83" s="1" t="n"/>
      <c r="AB83" s="1" t="n"/>
      <c r="AC83" s="1" t="n"/>
      <c r="AD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  <c r="AA84" s="1" t="n"/>
      <c r="AB84" s="1" t="n"/>
      <c r="AC84" s="1" t="n"/>
      <c r="AD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  <c r="AA85" s="1" t="n"/>
      <c r="AB85" s="1" t="n"/>
      <c r="AC85" s="1" t="n"/>
      <c r="AD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  <c r="AA86" s="1" t="n"/>
      <c r="AB86" s="1" t="n"/>
      <c r="AC86" s="1" t="n"/>
      <c r="AD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  <c r="AA87" s="1" t="n"/>
      <c r="AB87" s="1" t="n"/>
      <c r="AC87" s="1" t="n"/>
      <c r="AD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  <c r="AA88" s="1" t="n"/>
      <c r="AB88" s="1" t="n"/>
      <c r="AC88" s="1" t="n"/>
      <c r="AD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  <c r="AA89" s="1" t="n"/>
      <c r="AB89" s="1" t="n"/>
      <c r="AC89" s="1" t="n"/>
      <c r="AD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  <c r="AA90" s="1" t="n"/>
      <c r="AB90" s="1" t="n"/>
      <c r="AC90" s="1" t="n"/>
      <c r="AD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  <c r="AA91" s="1" t="n"/>
      <c r="AB91" s="1" t="n"/>
      <c r="AC91" s="1" t="n"/>
      <c r="AD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  <c r="AA92" s="1" t="n"/>
      <c r="AB92" s="1" t="n"/>
      <c r="AC92" s="1" t="n"/>
      <c r="AD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  <c r="AA93" s="1" t="n"/>
      <c r="AB93" s="1" t="n"/>
      <c r="AC93" s="1" t="n"/>
      <c r="AD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  <c r="AA94" s="1" t="n"/>
      <c r="AB94" s="1" t="n"/>
      <c r="AC94" s="1" t="n"/>
      <c r="AD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  <c r="AA95" s="1" t="n"/>
      <c r="AB95" s="1" t="n"/>
      <c r="AC95" s="1" t="n"/>
      <c r="AD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  <c r="AA96" s="1" t="n"/>
      <c r="AB96" s="1" t="n"/>
      <c r="AC96" s="1" t="n"/>
      <c r="AD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  <c r="AA97" s="1" t="n"/>
      <c r="AB97" s="1" t="n"/>
      <c r="AC97" s="1" t="n"/>
      <c r="AD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  <c r="AA98" s="1" t="n"/>
      <c r="AB98" s="1" t="n"/>
      <c r="AC98" s="1" t="n"/>
      <c r="AD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  <c r="AA99" s="1" t="n"/>
      <c r="AB99" s="1" t="n"/>
      <c r="AC99" s="1" t="n"/>
      <c r="AD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  <c r="AA100" s="1" t="n"/>
      <c r="AB100" s="1" t="n"/>
      <c r="AC100" s="1" t="n"/>
      <c r="AD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  <c r="AA101" s="1" t="n"/>
      <c r="AB101" s="1" t="n"/>
      <c r="AC101" s="1" t="n"/>
      <c r="AD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  <c r="AA102" s="1" t="n"/>
      <c r="AB102" s="1" t="n"/>
      <c r="AC102" s="1" t="n"/>
      <c r="AD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  <c r="AA103" s="1" t="n"/>
      <c r="AB103" s="1" t="n"/>
      <c r="AC103" s="1" t="n"/>
      <c r="AD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  <c r="AA104" s="1" t="n"/>
      <c r="AB104" s="1" t="n"/>
      <c r="AC104" s="1" t="n"/>
      <c r="AD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  <c r="AA105" s="1" t="n"/>
      <c r="AB105" s="1" t="n"/>
      <c r="AC105" s="1" t="n"/>
      <c r="AD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  <c r="AA106" s="1" t="n"/>
      <c r="AB106" s="1" t="n"/>
      <c r="AC106" s="1" t="n"/>
      <c r="AD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  <c r="AA107" s="1" t="n"/>
      <c r="AB107" s="1" t="n"/>
      <c r="AC107" s="1" t="n"/>
      <c r="AD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  <c r="AA108" s="1" t="n"/>
      <c r="AB108" s="1" t="n"/>
      <c r="AC108" s="1" t="n"/>
      <c r="AD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  <c r="AA109" s="1" t="n"/>
      <c r="AB109" s="1" t="n"/>
      <c r="AC109" s="1" t="n"/>
      <c r="AD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  <c r="AA110" s="1" t="n"/>
      <c r="AB110" s="1" t="n"/>
      <c r="AC110" s="1" t="n"/>
      <c r="AD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  <c r="AA111" s="1" t="n"/>
      <c r="AB111" s="1" t="n"/>
      <c r="AC111" s="1" t="n"/>
      <c r="AD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  <c r="AA112" s="1" t="n"/>
      <c r="AB112" s="1" t="n"/>
      <c r="AC112" s="1" t="n"/>
      <c r="AD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  <c r="AA113" s="1" t="n"/>
      <c r="AB113" s="1" t="n"/>
      <c r="AC113" s="1" t="n"/>
      <c r="AD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  <c r="AA114" s="1" t="n"/>
      <c r="AB114" s="1" t="n"/>
      <c r="AC114" s="1" t="n"/>
      <c r="AD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  <c r="AA115" s="1" t="n"/>
      <c r="AB115" s="1" t="n"/>
      <c r="AC115" s="1" t="n"/>
      <c r="AD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  <c r="AA116" s="1" t="n"/>
      <c r="AB116" s="1" t="n"/>
      <c r="AC116" s="1" t="n"/>
      <c r="AD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  <c r="AA117" s="1" t="n"/>
      <c r="AB117" s="1" t="n"/>
      <c r="AC117" s="1" t="n"/>
      <c r="AD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  <c r="AA118" s="1" t="n"/>
      <c r="AB118" s="1" t="n"/>
      <c r="AC118" s="1" t="n"/>
      <c r="AD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  <c r="AA119" s="1" t="n"/>
      <c r="AB119" s="1" t="n"/>
      <c r="AC119" s="1" t="n"/>
      <c r="AD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  <c r="AA120" s="1" t="n"/>
      <c r="AB120" s="1" t="n"/>
      <c r="AC120" s="1" t="n"/>
      <c r="AD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  <c r="AA121" s="1" t="n"/>
      <c r="AB121" s="1" t="n"/>
      <c r="AC121" s="1" t="n"/>
      <c r="AD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  <c r="AA122" s="1" t="n"/>
      <c r="AB122" s="1" t="n"/>
      <c r="AC122" s="1" t="n"/>
      <c r="AD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  <c r="AA123" s="1" t="n"/>
      <c r="AB123" s="1" t="n"/>
      <c r="AC123" s="1" t="n"/>
      <c r="AD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  <c r="AA124" s="1" t="n"/>
      <c r="AB124" s="1" t="n"/>
      <c r="AC124" s="1" t="n"/>
      <c r="AD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  <c r="AA125" s="1" t="n"/>
      <c r="AB125" s="1" t="n"/>
      <c r="AC125" s="1" t="n"/>
      <c r="AD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  <c r="AA126" s="1" t="n"/>
      <c r="AB126" s="1" t="n"/>
      <c r="AC126" s="1" t="n"/>
      <c r="AD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  <c r="AA127" s="1" t="n"/>
      <c r="AB127" s="1" t="n"/>
      <c r="AC127" s="1" t="n"/>
      <c r="AD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  <c r="AA128" s="1" t="n"/>
      <c r="AB128" s="1" t="n"/>
      <c r="AC128" s="1" t="n"/>
      <c r="AD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  <c r="AA129" s="1" t="n"/>
      <c r="AB129" s="1" t="n"/>
      <c r="AC129" s="1" t="n"/>
      <c r="AD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  <c r="AA130" s="1" t="n"/>
      <c r="AB130" s="1" t="n"/>
      <c r="AC130" s="1" t="n"/>
      <c r="AD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  <c r="AA131" s="1" t="n"/>
      <c r="AB131" s="1" t="n"/>
      <c r="AC131" s="1" t="n"/>
      <c r="AD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  <c r="AA132" s="1" t="n"/>
      <c r="AB132" s="1" t="n"/>
      <c r="AC132" s="1" t="n"/>
      <c r="AD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  <c r="AA133" s="1" t="n"/>
      <c r="AB133" s="1" t="n"/>
      <c r="AC133" s="1" t="n"/>
      <c r="AD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  <c r="AA134" s="1" t="n"/>
      <c r="AB134" s="1" t="n"/>
      <c r="AC134" s="1" t="n"/>
      <c r="AD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  <c r="AA135" s="1" t="n"/>
      <c r="AB135" s="1" t="n"/>
      <c r="AC135" s="1" t="n"/>
      <c r="AD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  <c r="AA136" s="1" t="n"/>
      <c r="AB136" s="1" t="n"/>
      <c r="AC136" s="1" t="n"/>
      <c r="AD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  <c r="AA137" s="1" t="n"/>
      <c r="AB137" s="1" t="n"/>
      <c r="AC137" s="1" t="n"/>
      <c r="AD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  <c r="AA138" s="1" t="n"/>
      <c r="AB138" s="1" t="n"/>
      <c r="AC138" s="1" t="n"/>
      <c r="AD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  <c r="AA139" s="1" t="n"/>
      <c r="AB139" s="1" t="n"/>
      <c r="AC139" s="1" t="n"/>
      <c r="AD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  <c r="AA140" s="1" t="n"/>
      <c r="AB140" s="1" t="n"/>
      <c r="AC140" s="1" t="n"/>
      <c r="AD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  <c r="AA141" s="1" t="n"/>
      <c r="AB141" s="1" t="n"/>
      <c r="AC141" s="1" t="n"/>
      <c r="AD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  <c r="AA142" s="1" t="n"/>
      <c r="AB142" s="1" t="n"/>
      <c r="AC142" s="1" t="n"/>
      <c r="AD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  <c r="AA143" s="1" t="n"/>
      <c r="AB143" s="1" t="n"/>
      <c r="AC143" s="1" t="n"/>
      <c r="AD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  <c r="AA144" s="1" t="n"/>
      <c r="AB144" s="1" t="n"/>
      <c r="AC144" s="1" t="n"/>
      <c r="AD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  <c r="AA145" s="1" t="n"/>
      <c r="AB145" s="1" t="n"/>
      <c r="AC145" s="1" t="n"/>
      <c r="AD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  <c r="AA146" s="1" t="n"/>
      <c r="AB146" s="1" t="n"/>
      <c r="AC146" s="1" t="n"/>
      <c r="AD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  <c r="AA147" s="1" t="n"/>
      <c r="AB147" s="1" t="n"/>
      <c r="AC147" s="1" t="n"/>
      <c r="AD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  <c r="AA148" s="1" t="n"/>
      <c r="AB148" s="1" t="n"/>
      <c r="AC148" s="1" t="n"/>
      <c r="AD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  <c r="AA149" s="1" t="n"/>
      <c r="AB149" s="1" t="n"/>
      <c r="AC149" s="1" t="n"/>
      <c r="AD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  <c r="AA150" s="1" t="n"/>
      <c r="AB150" s="1" t="n"/>
      <c r="AC150" s="1" t="n"/>
      <c r="AD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  <c r="AA151" s="1" t="n"/>
      <c r="AB151" s="1" t="n"/>
      <c r="AC151" s="1" t="n"/>
      <c r="AD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  <c r="AA152" s="1" t="n"/>
      <c r="AB152" s="1" t="n"/>
      <c r="AC152" s="1" t="n"/>
      <c r="AD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  <c r="AA153" s="1" t="n"/>
      <c r="AB153" s="1" t="n"/>
      <c r="AC153" s="1" t="n"/>
      <c r="AD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  <c r="AA154" s="1" t="n"/>
      <c r="AB154" s="1" t="n"/>
      <c r="AC154" s="1" t="n"/>
      <c r="AD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  <c r="AA155" s="1" t="n"/>
      <c r="AB155" s="1" t="n"/>
      <c r="AC155" s="1" t="n"/>
      <c r="AD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  <c r="AA156" s="1" t="n"/>
      <c r="AB156" s="1" t="n"/>
      <c r="AC156" s="1" t="n"/>
      <c r="AD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  <c r="AA157" s="1" t="n"/>
      <c r="AB157" s="1" t="n"/>
      <c r="AC157" s="1" t="n"/>
      <c r="AD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  <c r="AA158" s="1" t="n"/>
      <c r="AB158" s="1" t="n"/>
      <c r="AC158" s="1" t="n"/>
      <c r="AD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  <c r="AA159" s="1" t="n"/>
      <c r="AB159" s="1" t="n"/>
      <c r="AC159" s="1" t="n"/>
      <c r="AD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  <c r="AA160" s="1" t="n"/>
      <c r="AB160" s="1" t="n"/>
      <c r="AC160" s="1" t="n"/>
      <c r="AD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  <c r="AA161" s="1" t="n"/>
      <c r="AB161" s="1" t="n"/>
      <c r="AC161" s="1" t="n"/>
      <c r="AD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  <c r="AA162" s="1" t="n"/>
      <c r="AB162" s="1" t="n"/>
      <c r="AC162" s="1" t="n"/>
      <c r="AD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  <c r="AA163" s="1" t="n"/>
      <c r="AB163" s="1" t="n"/>
      <c r="AC163" s="1" t="n"/>
      <c r="AD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  <c r="AA164" s="1" t="n"/>
      <c r="AB164" s="1" t="n"/>
      <c r="AC164" s="1" t="n"/>
      <c r="AD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  <c r="AA165" s="1" t="n"/>
      <c r="AB165" s="1" t="n"/>
      <c r="AC165" s="1" t="n"/>
      <c r="AD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  <c r="AA166" s="1" t="n"/>
      <c r="AB166" s="1" t="n"/>
      <c r="AC166" s="1" t="n"/>
      <c r="AD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  <c r="AA167" s="1" t="n"/>
      <c r="AB167" s="1" t="n"/>
      <c r="AC167" s="1" t="n"/>
      <c r="AD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  <c r="AA168" s="1" t="n"/>
      <c r="AB168" s="1" t="n"/>
      <c r="AC168" s="1" t="n"/>
      <c r="AD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  <c r="AA169" s="1" t="n"/>
      <c r="AB169" s="1" t="n"/>
      <c r="AC169" s="1" t="n"/>
      <c r="AD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  <c r="AA170" s="1" t="n"/>
      <c r="AB170" s="1" t="n"/>
      <c r="AC170" s="1" t="n"/>
      <c r="AD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  <c r="AA171" s="1" t="n"/>
      <c r="AB171" s="1" t="n"/>
      <c r="AC171" s="1" t="n"/>
      <c r="AD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  <c r="AA172" s="1" t="n"/>
      <c r="AB172" s="1" t="n"/>
      <c r="AC172" s="1" t="n"/>
      <c r="AD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  <c r="AA173" s="1" t="n"/>
      <c r="AB173" s="1" t="n"/>
      <c r="AC173" s="1" t="n"/>
      <c r="AD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  <c r="AA174" s="1" t="n"/>
      <c r="AB174" s="1" t="n"/>
      <c r="AC174" s="1" t="n"/>
      <c r="AD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  <c r="AA175" s="1" t="n"/>
      <c r="AB175" s="1" t="n"/>
      <c r="AC175" s="1" t="n"/>
      <c r="AD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  <c r="AA176" s="1" t="n"/>
      <c r="AB176" s="1" t="n"/>
      <c r="AC176" s="1" t="n"/>
      <c r="AD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  <c r="AA177" s="1" t="n"/>
      <c r="AB177" s="1" t="n"/>
      <c r="AC177" s="1" t="n"/>
      <c r="AD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  <c r="AA178" s="1" t="n"/>
      <c r="AB178" s="1" t="n"/>
      <c r="AC178" s="1" t="n"/>
      <c r="AD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  <c r="AA179" s="1" t="n"/>
      <c r="AB179" s="1" t="n"/>
      <c r="AC179" s="1" t="n"/>
      <c r="AD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  <c r="AA180" s="1" t="n"/>
      <c r="AB180" s="1" t="n"/>
      <c r="AC180" s="1" t="n"/>
      <c r="AD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  <c r="AA181" s="1" t="n"/>
      <c r="AB181" s="1" t="n"/>
      <c r="AC181" s="1" t="n"/>
      <c r="AD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  <c r="AA182" s="1" t="n"/>
      <c r="AB182" s="1" t="n"/>
      <c r="AC182" s="1" t="n"/>
      <c r="AD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  <c r="AA183" s="1" t="n"/>
      <c r="AB183" s="1" t="n"/>
      <c r="AC183" s="1" t="n"/>
      <c r="AD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  <c r="AA184" s="1" t="n"/>
      <c r="AB184" s="1" t="n"/>
      <c r="AC184" s="1" t="n"/>
      <c r="AD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  <c r="AA185" s="1" t="n"/>
      <c r="AB185" s="1" t="n"/>
      <c r="AC185" s="1" t="n"/>
      <c r="AD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  <c r="AA186" s="1" t="n"/>
      <c r="AB186" s="1" t="n"/>
      <c r="AC186" s="1" t="n"/>
      <c r="AD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  <c r="AA187" s="1" t="n"/>
      <c r="AB187" s="1" t="n"/>
      <c r="AC187" s="1" t="n"/>
      <c r="AD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  <c r="AA188" s="1" t="n"/>
      <c r="AB188" s="1" t="n"/>
      <c r="AC188" s="1" t="n"/>
      <c r="AD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  <c r="AA189" s="1" t="n"/>
      <c r="AB189" s="1" t="n"/>
      <c r="AC189" s="1" t="n"/>
      <c r="AD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  <c r="AA190" s="1" t="n"/>
      <c r="AB190" s="1" t="n"/>
      <c r="AC190" s="1" t="n"/>
      <c r="AD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  <c r="AA191" s="1" t="n"/>
      <c r="AB191" s="1" t="n"/>
      <c r="AC191" s="1" t="n"/>
      <c r="AD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  <c r="AA192" s="1" t="n"/>
      <c r="AB192" s="1" t="n"/>
      <c r="AC192" s="1" t="n"/>
      <c r="AD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  <c r="AA193" s="1" t="n"/>
      <c r="AB193" s="1" t="n"/>
      <c r="AC193" s="1" t="n"/>
      <c r="AD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  <c r="AA194" s="1" t="n"/>
      <c r="AB194" s="1" t="n"/>
      <c r="AC194" s="1" t="n"/>
      <c r="AD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  <c r="AA195" s="1" t="n"/>
      <c r="AB195" s="1" t="n"/>
      <c r="AC195" s="1" t="n"/>
      <c r="AD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  <c r="AA196" s="1" t="n"/>
      <c r="AB196" s="1" t="n"/>
      <c r="AC196" s="1" t="n"/>
      <c r="AD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  <c r="AA197" s="1" t="n"/>
      <c r="AB197" s="1" t="n"/>
      <c r="AC197" s="1" t="n"/>
      <c r="AD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  <c r="AA198" s="1" t="n"/>
      <c r="AB198" s="1" t="n"/>
      <c r="AC198" s="1" t="n"/>
      <c r="AD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  <c r="AA199" s="1" t="n"/>
      <c r="AB199" s="1" t="n"/>
      <c r="AC199" s="1" t="n"/>
      <c r="AD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  <c r="AA200" s="1" t="n"/>
      <c r="AB200" s="1" t="n"/>
      <c r="AC200" s="1" t="n"/>
      <c r="AD200" s="1" t="n"/>
    </row>
  </sheetData>
  <mergeCells count="2">
    <mergeCell ref="B3:H3"/>
    <mergeCell ref="B2:H2"/>
  </mergeCells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tabSelected="0" workbookViewId="0">
      <selection activeCell="A1" sqref="A1"/>
    </sheetView>
  </sheetViews>
  <sheetFormatPr baseColWidth="8" defaultRowHeight="15"/>
  <sheetData>
    <row r="1">
      <c r="A1" t="inlineStr">
        <is>
          <t>Expense Categories</t>
        </is>
      </c>
      <c r="B1" t="inlineStr">
        <is>
          <t>Types</t>
        </is>
      </c>
      <c r="C1" t="inlineStr">
        <is>
          <t>Income Categories</t>
        </is>
      </c>
    </row>
    <row r="2">
      <c r="A2" t="inlineStr">
        <is>
          <t>Payroll</t>
        </is>
      </c>
      <c r="B2" t="inlineStr">
        <is>
          <t>Fixed</t>
        </is>
      </c>
      <c r="C2" t="inlineStr">
        <is>
          <t>Product Sales</t>
        </is>
      </c>
    </row>
    <row r="3">
      <c r="A3" t="inlineStr">
        <is>
          <t>Rent &amp; Facilities</t>
        </is>
      </c>
      <c r="B3" t="inlineStr">
        <is>
          <t>Variable</t>
        </is>
      </c>
      <c r="C3" t="inlineStr">
        <is>
          <t>Services</t>
        </is>
      </c>
    </row>
    <row r="4">
      <c r="A4" t="inlineStr">
        <is>
          <t>Utilities</t>
        </is>
      </c>
      <c r="C4" t="inlineStr">
        <is>
          <t>Recurring / Subscriptions</t>
        </is>
      </c>
    </row>
    <row r="5">
      <c r="A5" t="inlineStr">
        <is>
          <t>Software &amp; Subscriptions</t>
        </is>
      </c>
      <c r="C5" t="inlineStr">
        <is>
          <t>Consulting</t>
        </is>
      </c>
    </row>
    <row r="6">
      <c r="A6" t="inlineStr">
        <is>
          <t>Marketing &amp; Advertising</t>
        </is>
      </c>
      <c r="C6" t="inlineStr">
        <is>
          <t>Grants</t>
        </is>
      </c>
    </row>
    <row r="7">
      <c r="A7" t="inlineStr">
        <is>
          <t>Inventory / COGS</t>
        </is>
      </c>
      <c r="C7" t="inlineStr">
        <is>
          <t>Interest</t>
        </is>
      </c>
    </row>
    <row r="8">
      <c r="A8" t="inlineStr">
        <is>
          <t>Contractors</t>
        </is>
      </c>
      <c r="C8" t="inlineStr">
        <is>
          <t>Other</t>
        </is>
      </c>
    </row>
    <row r="9">
      <c r="A9" t="inlineStr">
        <is>
          <t>Supplies</t>
        </is>
      </c>
    </row>
    <row r="10">
      <c r="A10" t="inlineStr">
        <is>
          <t>Insurance</t>
        </is>
      </c>
    </row>
    <row r="11">
      <c r="A11" t="inlineStr">
        <is>
          <t>Professional Fees</t>
        </is>
      </c>
    </row>
    <row r="12">
      <c r="A12" t="inlineStr">
        <is>
          <t>Travel &amp; Meals</t>
        </is>
      </c>
    </row>
    <row r="13">
      <c r="A13" t="inlineStr">
        <is>
          <t>Equipment</t>
        </is>
      </c>
    </row>
    <row r="14">
      <c r="A14" t="inlineStr">
        <is>
          <t>Taxes &amp; Licenses</t>
        </is>
      </c>
    </row>
    <row r="15">
      <c r="A15" t="inlineStr">
        <is>
          <t>Bank &amp; Merchant Fees</t>
        </is>
      </c>
    </row>
    <row r="16">
      <c r="A16" t="inlineStr">
        <is>
          <t>Loan Payments</t>
        </is>
      </c>
    </row>
    <row r="17">
      <c r="A17" t="inlineStr">
        <is>
          <t>Owner Pay</t>
        </is>
      </c>
    </row>
    <row r="18">
      <c r="A1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2026-10-10T17:14:15Z</dcterms:created>
  <dcterms:modified xsi:type="dcterms:W3CDTF">2026-10-10T17:14:16Z</dcterms:modified>
</cp:coreProperties>
</file>