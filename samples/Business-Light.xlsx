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venue" sheetId="2" state="visible" r:id="rId2"/>
    <sheet name="Payroll" sheetId="3" state="visible" r:id="rId3"/>
    <sheet name="Expenses" sheetId="4" state="visible" r:id="rId4"/>
    <sheet name="Reserve Goals" sheetId="5" state="visible" r:id="rId5"/>
    <sheet name="Loans &amp; Credit" sheetId="6" state="visible" r:id="rId6"/>
    <sheet name="Lists" sheetId="7" state="hidden" r:id="rId7"/>
  </sheets>
  <definedNames>
    <definedName name="_xlnm.Print_Area" localSheetId="0">'Dashboard'!$A$1:$O$54</definedName>
    <definedName name="_xlnm.Print_Area" localSheetId="1">'Revenue'!$A$1:$Q$22</definedName>
    <definedName name="_xlnm.Print_Area" localSheetId="2">'Payroll'!$A$1:$G$37</definedName>
    <definedName name="_xlnm.Print_Area" localSheetId="3">'Expenses'!$A$1:$S$68</definedName>
    <definedName name="_xlnm.Print_Area" localSheetId="4">'Reserve Goals'!$A$1:$J$17</definedName>
    <definedName name="_xlnm.Print_Area" localSheetId="5">'Loans &amp; Credit'!$A$1:$I$17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d, mmm d, yyyy"/>
    <numFmt numFmtId="166" formatCode="mmm yyyy"/>
    <numFmt numFmtId="167" formatCode="&quot;$&quot;#,##0.00;-&quot;$&quot;#,##0.00;&quot;$&quot;0.00"/>
    <numFmt numFmtId="168" formatCode="mmm d, yyyy"/>
    <numFmt numFmtId="169" formatCode="0.0%"/>
    <numFmt numFmtId="170" formatCode="0.00&quot;%&quot;"/>
    <numFmt numFmtId="171" formatCode="&quot;$&quot;#,##0;-&quot;$&quot;#,##0;&quot;$&quot;0"/>
  </numFmts>
  <fonts count="13">
    <font>
      <name val="Calibri"/>
      <family val="2"/>
      <color theme="1"/>
      <sz val="11"/>
      <scheme val="minor"/>
    </font>
    <font>
      <name val="Segoe UI"/>
      <color rgb="001F2937"/>
      <sz val="10"/>
    </font>
    <font>
      <name val="Segoe UI"/>
      <b val="1"/>
      <color rgb="001F2937"/>
      <sz val="22"/>
    </font>
    <font>
      <name val="Segoe UI"/>
      <i val="1"/>
      <color rgb="006B7280"/>
      <sz val="10"/>
    </font>
    <font>
      <name val="Segoe UI"/>
      <i val="1"/>
      <color rgb="006B7280"/>
      <sz val="8"/>
    </font>
    <font>
      <name val="Segoe UI"/>
      <b val="1"/>
      <color rgb="00FFFFFF"/>
      <sz val="10"/>
    </font>
    <font>
      <name val="Segoe UI"/>
      <color rgb="006B7280"/>
      <sz val="10"/>
    </font>
    <font>
      <name val="Segoe UI"/>
      <b val="1"/>
      <color rgb="001F2937"/>
      <sz val="10"/>
    </font>
    <font>
      <name val="Segoe UI"/>
      <b val="1"/>
      <color rgb="001F2937"/>
      <sz val="12"/>
    </font>
    <font>
      <name val="Segoe UI"/>
      <b val="1"/>
      <color rgb="006B7280"/>
      <sz val="9"/>
    </font>
    <font>
      <name val="Segoe UI"/>
      <b val="1"/>
      <color rgb="001F2937"/>
      <sz val="20"/>
    </font>
    <font>
      <name val="Segoe UI"/>
      <color rgb="006B7280"/>
      <sz val="8"/>
    </font>
    <font>
      <name val="Segoe UI"/>
      <b val="1"/>
      <color rgb="001F2937"/>
      <sz val="18"/>
    </font>
  </fonts>
  <fills count="7">
    <fill>
      <patternFill/>
    </fill>
    <fill>
      <patternFill patternType="gray125"/>
    </fill>
    <fill>
      <patternFill patternType="solid">
        <fgColor rgb="00F5F6FA"/>
        <bgColor rgb="00F5F6FA"/>
      </patternFill>
    </fill>
    <fill>
      <patternFill patternType="solid">
        <fgColor rgb="0014B8A6"/>
        <bgColor rgb="0014B8A6"/>
      </patternFill>
    </fill>
    <fill>
      <patternFill patternType="solid">
        <fgColor rgb="00EEF0F6"/>
        <bgColor rgb="00EEF0F6"/>
      </patternFill>
    </fill>
    <fill>
      <patternFill patternType="solid">
        <fgColor rgb="00FFFFFF"/>
        <bgColor rgb="00FFFFFF"/>
      </patternFill>
    </fill>
    <fill>
      <patternFill patternType="solid">
        <fgColor rgb="00F9FAFC"/>
        <bgColor rgb="00F9FAFC"/>
      </patternFill>
    </fill>
  </fills>
  <borders count="6">
    <border>
      <left/>
      <right/>
      <top/>
      <bottom/>
      <diagonal/>
    </border>
    <border>
      <left style="thin">
        <color rgb="00E3E6EE"/>
      </left>
      <right style="thin">
        <color rgb="00E3E6EE"/>
      </right>
      <top style="thin">
        <color rgb="00E3E6EE"/>
      </top>
      <bottom style="thin">
        <color rgb="00E3E6EE"/>
      </bottom>
    </border>
    <border>
      <top style="medium">
        <color rgb="0014B8A6"/>
      </top>
      <bottom style="thin">
        <color rgb="00E3E6EE"/>
      </bottom>
    </border>
    <border>
      <left style="thick">
        <color rgb="00F5F6FA"/>
      </left>
      <right style="thick">
        <color rgb="00F5F6FA"/>
      </right>
      <top style="thick">
        <color rgb="0014B8A6"/>
      </top>
    </border>
    <border>
      <left style="thick">
        <color rgb="00F5F6FA"/>
      </left>
      <right style="thick">
        <color rgb="00F5F6FA"/>
      </right>
    </border>
    <border>
      <left style="thick">
        <color rgb="00F5F6FA"/>
      </left>
      <right style="thick">
        <color rgb="00F5F6FA"/>
      </right>
      <bottom style="thick">
        <color rgb="00F5F6FA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center"/>
    </xf>
    <xf numFmtId="0" fontId="3" fillId="2" borderId="0" pivotButton="0" quotePrefix="0" xfId="0"/>
    <xf numFmtId="0" fontId="4" fillId="2" borderId="0" applyAlignment="1" pivotButton="0" quotePrefix="0" xfId="0">
      <alignment horizontal="right" vertical="center"/>
    </xf>
    <xf numFmtId="0" fontId="9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171" fontId="10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9" fontId="10" fillId="5" borderId="4" applyAlignment="1" pivotButton="0" quotePrefix="0" xfId="0">
      <alignment horizontal="left" vertical="center" indent="1"/>
    </xf>
    <xf numFmtId="1" fontId="10" fillId="5" borderId="4" applyAlignment="1" pivotButton="0" quotePrefix="0" xfId="0">
      <alignment horizontal="left" vertical="center" indent="1"/>
    </xf>
    <xf numFmtId="0" fontId="11" fillId="5" borderId="5" applyAlignment="1" pivotButton="0" quotePrefix="0" xfId="0">
      <alignment horizontal="left" vertical="center" indent="1"/>
    </xf>
    <xf numFmtId="0" fontId="0" fillId="5" borderId="5" pivotButton="0" quotePrefix="0" xfId="0"/>
    <xf numFmtId="0" fontId="8" fillId="2" borderId="0" pivotButton="0" quotePrefix="0" xfId="0"/>
    <xf numFmtId="0" fontId="5" fillId="3" borderId="1" applyAlignment="1" pivotButton="0" quotePrefix="0" xfId="0">
      <alignment horizontal="center" vertical="center"/>
    </xf>
    <xf numFmtId="166" fontId="1" fillId="5" borderId="1" applyAlignment="1" pivotButton="0" quotePrefix="0" xfId="0">
      <alignment horizontal="left" vertical="center"/>
    </xf>
    <xf numFmtId="1" fontId="1" fillId="5" borderId="1" applyAlignment="1" pivotButton="0" quotePrefix="0" xfId="0">
      <alignment horizontal="right" vertical="center"/>
    </xf>
    <xf numFmtId="167" fontId="1" fillId="5" borderId="1" applyAlignment="1" pivotButton="0" quotePrefix="0" xfId="0">
      <alignment horizontal="right" vertical="center"/>
    </xf>
    <xf numFmtId="169" fontId="1" fillId="5" borderId="1" applyAlignment="1" pivotButton="0" quotePrefix="0" xfId="0">
      <alignment horizontal="right" vertical="center"/>
    </xf>
    <xf numFmtId="0" fontId="1" fillId="5" borderId="1" applyAlignment="1" pivotButton="0" quotePrefix="0" xfId="0">
      <alignment horizontal="left" vertical="center"/>
    </xf>
    <xf numFmtId="166" fontId="1" fillId="6" borderId="1" applyAlignment="1" pivotButton="0" quotePrefix="0" xfId="0">
      <alignment horizontal="left" vertical="center"/>
    </xf>
    <xf numFmtId="1" fontId="1" fillId="6" borderId="1" applyAlignment="1" pivotButton="0" quotePrefix="0" xfId="0">
      <alignment horizontal="right" vertical="center"/>
    </xf>
    <xf numFmtId="167" fontId="1" fillId="6" borderId="1" applyAlignment="1" pivotButton="0" quotePrefix="0" xfId="0">
      <alignment horizontal="right" vertical="center"/>
    </xf>
    <xf numFmtId="169" fontId="1" fillId="6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/>
    </xf>
    <xf numFmtId="0" fontId="7" fillId="5" borderId="2" pivotButton="0" quotePrefix="0" xfId="0"/>
    <xf numFmtId="1" fontId="7" fillId="5" borderId="2" applyAlignment="1" pivotButton="0" quotePrefix="0" xfId="0">
      <alignment horizontal="right"/>
    </xf>
    <xf numFmtId="167" fontId="7" fillId="5" borderId="2" applyAlignment="1" pivotButton="0" quotePrefix="0" xfId="0">
      <alignment horizontal="right"/>
    </xf>
    <xf numFmtId="169" fontId="7" fillId="5" borderId="2" applyAlignment="1" pivotButton="0" quotePrefix="0" xfId="0">
      <alignment horizontal="right"/>
    </xf>
    <xf numFmtId="167" fontId="7" fillId="5" borderId="2" pivotButton="0" quotePrefix="0" xfId="0"/>
    <xf numFmtId="169" fontId="7" fillId="5" borderId="2" pivotButton="0" quotePrefix="0" xfId="0"/>
    <xf numFmtId="171" fontId="12" fillId="5" borderId="4" applyAlignment="1" pivotButton="0" quotePrefix="0" xfId="0">
      <alignment horizontal="left" vertical="center" indent="1"/>
    </xf>
    <xf numFmtId="169" fontId="12" fillId="5" borderId="4" applyAlignment="1" pivotButton="0" quotePrefix="0" xfId="0">
      <alignment horizontal="left" vertical="center" indent="1"/>
    </xf>
    <xf numFmtId="166" fontId="5" fillId="3" borderId="1" applyAlignment="1" pivotButton="0" quotePrefix="0" xfId="0">
      <alignment horizontal="center" vertical="center"/>
    </xf>
    <xf numFmtId="0" fontId="1" fillId="5" borderId="1" pivotButton="0" quotePrefix="0" xfId="0"/>
    <xf numFmtId="167" fontId="1" fillId="5" borderId="1" pivotButton="0" quotePrefix="0" xfId="0"/>
    <xf numFmtId="167" fontId="7" fillId="4" borderId="1" pivotButton="0" quotePrefix="0" xfId="0"/>
    <xf numFmtId="0" fontId="1" fillId="6" borderId="1" pivotButton="0" quotePrefix="0" xfId="0"/>
    <xf numFmtId="167" fontId="1" fillId="6" borderId="1" pivotButton="0" quotePrefix="0" xfId="0"/>
    <xf numFmtId="0" fontId="6" fillId="4" borderId="1" applyAlignment="1" pivotButton="0" quotePrefix="0" xfId="0">
      <alignment horizontal="center" vertical="center"/>
    </xf>
    <xf numFmtId="165" fontId="1" fillId="5" borderId="1" pivotButton="0" quotePrefix="0" xfId="0"/>
    <xf numFmtId="166" fontId="1" fillId="4" borderId="1" pivotButton="0" quotePrefix="0" xfId="0"/>
    <xf numFmtId="165" fontId="1" fillId="6" borderId="1" pivotButton="0" quotePrefix="0" xfId="0"/>
    <xf numFmtId="0" fontId="7" fillId="4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horizontal="center" vertical="center"/>
    </xf>
    <xf numFmtId="167" fontId="1" fillId="4" borderId="1" pivotButton="0" quotePrefix="0" xfId="0"/>
    <xf numFmtId="0" fontId="1" fillId="6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9" fontId="1" fillId="4" borderId="1" pivotButton="0" quotePrefix="0" xfId="0"/>
    <xf numFmtId="168" fontId="1" fillId="5" borderId="1" pivotButton="0" quotePrefix="0" xfId="0"/>
    <xf numFmtId="1" fontId="1" fillId="4" borderId="1" pivotButton="0" quotePrefix="0" xfId="0"/>
    <xf numFmtId="168" fontId="1" fillId="6" borderId="1" pivotButton="0" quotePrefix="0" xfId="0"/>
    <xf numFmtId="170" fontId="1" fillId="5" borderId="1" pivotButton="0" quotePrefix="0" xfId="0"/>
    <xf numFmtId="1" fontId="1" fillId="4" borderId="1" applyAlignment="1" pivotButton="0" quotePrefix="0" xfId="0">
      <alignment horizontal="right" vertical="center"/>
    </xf>
    <xf numFmtId="167" fontId="1" fillId="4" borderId="1" applyAlignment="1" pivotButton="0" quotePrefix="0" xfId="0">
      <alignment horizontal="right" vertical="center"/>
    </xf>
    <xf numFmtId="166" fontId="1" fillId="4" borderId="1" applyAlignment="1" pivotButton="0" quotePrefix="0" xfId="0">
      <alignment horizontal="right" vertical="center"/>
    </xf>
    <xf numFmtId="170" fontId="1" fillId="6" borderId="1" pivotButton="0" quotePrefix="0" xfId="0"/>
  </cellXfs>
  <cellStyles count="1">
    <cellStyle name="Normal" xfId="0" builtinId="0" hidden="0"/>
  </cellStyles>
  <dxfs count="6">
    <dxf>
      <font>
        <name val="Segoe UI"/>
        <b val="1"/>
        <color rgb="00EF4444"/>
      </font>
    </dxf>
    <dxf>
      <font>
        <name val="Segoe UI"/>
        <b val="1"/>
        <color rgb="0022C55E"/>
      </font>
    </dxf>
    <dxf>
      <font>
        <name val="Segoe UI"/>
        <b val="1"/>
        <color rgb="001F2937"/>
      </font>
      <fill>
        <patternFill patternType="solid">
          <fgColor rgb="00CBEFEB"/>
          <bgColor rgb="00CBEFEB"/>
        </patternFill>
      </fill>
    </dxf>
    <dxf>
      <font>
        <name val="Segoe UI"/>
        <b val="1"/>
        <color rgb="00EF4444"/>
        <sz val="20"/>
      </font>
    </dxf>
    <dxf>
      <font>
        <name val="Segoe UI"/>
        <b val="1"/>
        <color rgb="0022C55E"/>
        <sz val="20"/>
      </font>
    </dxf>
    <dxf>
      <font>
        <name val="Segoe UI"/>
        <b val="1"/>
        <color rgb="0014B8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roundedCorners val="1"/>
  <chart>
    <title>
      <tx>
        <rich>
          <a:bodyPr/>
          <a:p>
            <a:pPr>
              <a:defRPr sz="1200" b="1">
                <a:solidFill>
                  <a:srgbClr val="1F2937"/>
                </a:solidFill>
                <a:latin typeface="Segoe UI"/>
              </a:defRPr>
            </a:pPr>
            <a:r>
              <a:rPr sz="1200" b="1">
                <a:solidFill>
                  <a:srgbClr val="1F2937"/>
                </a:solidFill>
                <a:latin typeface="Segoe UI"/>
              </a:rPr>
              <a:t>Revenue vs Expenses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'Dashboard'!D29</f>
            </strRef>
          </tx>
          <spPr>
            <a:solidFill>
              <a:srgbClr val="14B8A6"/>
            </a:solidFill>
            <a:ln>
              <a:solidFill>
                <a:srgbClr val="14B8A6"/>
              </a:solidFill>
              <a:prstDash val="solid"/>
            </a:ln>
          </spPr>
          <cat>
            <numRef>
              <f>'Dashboard'!$B$30:$B$41</f>
            </numRef>
          </cat>
          <val>
            <numRef>
              <f>'Dashboard'!$D$30:$D$41</f>
            </numRef>
          </val>
        </ser>
        <ser>
          <idx val="1"/>
          <order val="1"/>
          <tx>
            <strRef>
              <f>'Dashboard'!G29</f>
            </strRef>
          </tx>
          <spPr>
            <a:solidFill>
              <a:srgbClr val="22D3EE"/>
            </a:solidFill>
            <a:ln>
              <a:solidFill>
                <a:srgbClr val="22D3EE"/>
              </a:solidFill>
              <a:prstDash val="solid"/>
            </a:ln>
          </spPr>
          <cat>
            <numRef>
              <f>'Dashboard'!$B$30:$B$41</f>
            </numRef>
          </cat>
          <val>
            <numRef>
              <f>'Dashboard'!$G$30:$G$41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'Dashboard'!H29</f>
            </strRef>
          </tx>
          <spPr>
            <a:solidFill>
              <a:srgbClr val="22C55E"/>
            </a:solidFill>
            <a:ln w="28575">
              <a:solidFill>
                <a:srgbClr val="22C55E"/>
              </a:solidFill>
              <a:prstDash val="solid"/>
            </a:ln>
          </spPr>
          <marker>
            <symbol val="circle"/>
            <size val="5"/>
            <spPr>
              <a:solidFill>
                <a:srgbClr val="22C55E"/>
              </a:solidFill>
              <a:ln>
                <a:solidFill>
                  <a:srgbClr val="22C55E"/>
                </a:solidFill>
                <a:prstDash val="solid"/>
              </a:ln>
            </spPr>
          </marker>
          <cat>
            <numRef>
              <f>'Dashboard'!$B$30:$B$41</f>
            </numRef>
          </cat>
          <val>
            <numRef>
              <f>'Dashboard'!$H$30:$H$41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spPr>
          <a:ln>
            <a:solidFill>
              <a:srgbClr val="E3E6EE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6B7280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B7280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3E6EE"/>
              </a:solidFill>
              <a:prstDash val="solid"/>
            </a:ln>
          </spPr>
        </majorGridlines>
        <numFmt formatCode="&quot;$&quot;#,##0;-&quot;$&quot;#,##0;&quot;$&quot;0" sourceLinked="0"/>
        <majorTickMark val="none"/>
        <minorTickMark val="none"/>
        <spPr>
          <a:ln>
            <a:solidFill>
              <a:srgbClr val="E3E6EE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6B7280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B7280"/>
              </a:solidFill>
              <a:latin typeface="Segoe UI"/>
            </a:endParaRPr>
          </a:p>
        </txPr>
        <crossAx val="10"/>
      </valAx>
      <spPr>
        <a:noFill/>
        <a:ln>
          <a:prstDash val="solid"/>
        </a:ln>
      </spPr>
    </plotArea>
    <legend>
      <legendPos val="b"/>
      <overlay val="0"/>
      <txPr>
        <a:bodyPr/>
        <a:p>
          <a:pPr>
            <a:defRPr sz="900" b="0">
              <a:solidFill>
                <a:srgbClr val="1F2937"/>
              </a:solidFill>
              <a:latin typeface="Segoe UI"/>
            </a:defRPr>
          </a:pPr>
          <a:r>
            <a:t/>
          </a:r>
          <a:endParaRPr sz="900" b="0">
            <a:solidFill>
              <a:srgbClr val="1F2937"/>
            </a:solidFill>
            <a:latin typeface="Segoe UI"/>
          </a:endParaRPr>
        </a:p>
      </txPr>
    </legend>
    <plotVisOnly val="1"/>
    <dispBlanksAs val="gap"/>
  </chart>
  <spPr>
    <a:solidFill>
      <a:srgbClr val="FFFFFF"/>
    </a:solidFill>
    <a:ln>
      <a:solidFill>
        <a:srgbClr val="E3E6EE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1"/>
  <chart>
    <title>
      <tx>
        <rich>
          <a:bodyPr/>
          <a:p>
            <a:pPr>
              <a:defRPr sz="1200" b="1">
                <a:solidFill>
                  <a:srgbClr val="1F2937"/>
                </a:solidFill>
                <a:latin typeface="Segoe UI"/>
              </a:defRPr>
            </a:pPr>
            <a:r>
              <a:rPr sz="1200" b="1">
                <a:solidFill>
                  <a:srgbClr val="1F2937"/>
                </a:solidFill>
                <a:latin typeface="Segoe UI"/>
              </a:rPr>
              <a:t>Expenses by Category</a:t>
            </a:r>
          </a:p>
        </rich>
      </tx>
      <overlay val="0"/>
    </title>
    <plotArea>
      <barChart>
        <barDir val="bar"/>
        <grouping val="clustered"/>
        <varyColors val="1"/>
        <ser>
          <idx val="0"/>
          <order val="0"/>
          <tx>
            <strRef>
              <f>'Dashboard'!L29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4B8A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2D3EE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472B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FBBF24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4D39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60A5F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F8717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78BF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FB923C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4ADE80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0"/>
            <spPr>
              <a:solidFill>
                <a:srgbClr val="E879F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1"/>
            <spPr>
              <a:solidFill>
                <a:srgbClr val="94A3B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2"/>
            <spPr>
              <a:solidFill>
                <a:srgbClr val="2DD4BF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3"/>
            <spPr>
              <a:solidFill>
                <a:srgbClr val="14B8A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4"/>
            <spPr>
              <a:solidFill>
                <a:srgbClr val="22D3EE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5"/>
            <spPr>
              <a:solidFill>
                <a:srgbClr val="F472B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6"/>
            <spPr>
              <a:solidFill>
                <a:srgbClr val="FBBF24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numFmt formatCode="&quot;$&quot;#,##0;;;" sourceLinked="0"/>
            <txPr>
              <a:bodyPr/>
              <a:p>
                <a:pPr>
                  <a:defRPr sz="900" b="0">
                    <a:solidFill>
                      <a:srgbClr val="1F2937"/>
                    </a:solidFill>
                    <a:latin typeface="Segoe UI"/>
                  </a:defRPr>
                </a:pPr>
                <a:r>
                  <a:t/>
                </a:r>
                <a:endParaRPr sz="900" b="0">
                  <a:solidFill>
                    <a:srgbClr val="1F2937"/>
                  </a:solidFill>
                  <a:latin typeface="Segoe UI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'Dashboard'!$K$30:$K$46</f>
            </numRef>
          </cat>
          <val>
            <numRef>
              <f>'Dashboard'!$L$30:$L$46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E3E6EE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6B7280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B7280"/>
              </a:solidFill>
              <a:latin typeface="Segoe UI"/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3E6EE"/>
              </a:solidFill>
              <a:prstDash val="solid"/>
            </a:ln>
          </spPr>
        </majorGridlines>
        <numFmt formatCode="&quot;$&quot;#,##0;-&quot;$&quot;#,##0;&quot;$&quot;0" sourceLinked="0"/>
        <majorTickMark val="none"/>
        <minorTickMark val="none"/>
        <spPr>
          <a:ln>
            <a:solidFill>
              <a:srgbClr val="E3E6EE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6B7280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B7280"/>
              </a:solidFill>
              <a:latin typeface="Segoe UI"/>
            </a:endParaRPr>
          </a:p>
        </txPr>
        <crossAx val="10"/>
        <crosses val="max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>
      <a:solidFill>
        <a:srgbClr val="E3E6EE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6696000" cy="331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</row>
      <rowOff>0</rowOff>
    </from>
    <ext cx="5544000" cy="331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6inq/budget-planne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sheet1.xml><?xml version="1.0" encoding="utf-8"?>
<worksheet xmlns="http://schemas.openxmlformats.org/spreadsheetml/2006/main">
  <sheetPr>
    <tabColor rgb="0014B8A6"/>
    <outlinePr summaryBelow="1" summaryRight="1"/>
    <pageSetUpPr fitToPage="1"/>
  </sheetPr>
  <dimension ref="A1:AD200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2" customWidth="1" min="11" max="11"/>
    <col width="18" customWidth="1" min="12" max="12"/>
    <col width="14" customWidth="1" min="13" max="13"/>
    <col width="14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2026 Business Budget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Annual Overview  |  Jan 2026 - Dec 2026  |  Payroll Semi-monthly (15th &amp; Last day)  |  Northwind Studio LLC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2" customHeight="1">
      <c r="A5" s="1" t="n"/>
      <c r="B5" s="5" t="inlineStr">
        <is>
          <t>REVENUE</t>
        </is>
      </c>
      <c r="C5" s="6" t="n"/>
      <c r="D5" s="5" t="inlineStr">
        <is>
          <t>EXPENSES</t>
        </is>
      </c>
      <c r="E5" s="6" t="n"/>
      <c r="F5" s="5" t="inlineStr">
        <is>
          <t>NET PROFIT</t>
        </is>
      </c>
      <c r="G5" s="6" t="n"/>
      <c r="H5" s="5" t="inlineStr">
        <is>
          <t>PROFIT MARGIN</t>
        </is>
      </c>
      <c r="I5" s="6" t="n"/>
      <c r="J5" s="1" t="n"/>
      <c r="K5" s="5" t="inlineStr">
        <is>
          <t>AVG MONTHLY BURN</t>
        </is>
      </c>
      <c r="L5" s="6" t="n"/>
      <c r="M5" s="5" t="inlineStr">
        <is>
          <t>PAYROLL RUNS</t>
        </is>
      </c>
      <c r="N5" s="6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 ht="36" customHeight="1">
      <c r="A6" s="1" t="n"/>
      <c r="B6" s="7">
        <f>D42</f>
        <v/>
      </c>
      <c r="C6" s="8" t="n"/>
      <c r="D6" s="7">
        <f>G42</f>
        <v/>
      </c>
      <c r="E6" s="8" t="n"/>
      <c r="F6" s="7">
        <f>H42</f>
        <v/>
      </c>
      <c r="G6" s="8" t="n"/>
      <c r="H6" s="9">
        <f>IFERROR(H42/D42,0)</f>
        <v/>
      </c>
      <c r="I6" s="8" t="n"/>
      <c r="J6" s="1" t="n"/>
      <c r="K6" s="7">
        <f>G42/12</f>
        <v/>
      </c>
      <c r="L6" s="8" t="n"/>
      <c r="M6" s="10">
        <f>C42</f>
        <v/>
      </c>
      <c r="N6" s="8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 ht="18" customHeight="1">
      <c r="A7" s="1" t="n"/>
      <c r="B7" s="11" t="inlineStr">
        <is>
          <t>earned this year</t>
        </is>
      </c>
      <c r="C7" s="12" t="n"/>
      <c r="D7" s="11" t="inlineStr">
        <is>
          <t>fixed + variable</t>
        </is>
      </c>
      <c r="E7" s="12" t="n"/>
      <c r="F7" s="11" t="inlineStr">
        <is>
          <t>revenue - expenses</t>
        </is>
      </c>
      <c r="G7" s="12" t="n"/>
      <c r="H7" s="11" t="inlineStr">
        <is>
          <t>of revenue kept</t>
        </is>
      </c>
      <c r="I7" s="12" t="n"/>
      <c r="J7" s="1" t="n"/>
      <c r="K7" s="11" t="inlineStr">
        <is>
          <t>expenses / 12</t>
        </is>
      </c>
      <c r="L7" s="12" t="n"/>
      <c r="M7" s="11" t="inlineStr">
        <is>
          <t>payroll dates this year</t>
        </is>
      </c>
      <c r="N7" s="12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3" t="inlineStr">
        <is>
          <t>Monthly Breakdown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3" t="inlineStr">
        <is>
          <t>Expenses by Category</t>
        </is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 ht="24" customHeight="1">
      <c r="A29" s="1" t="n"/>
      <c r="B29" s="14" t="inlineStr">
        <is>
          <t>Month</t>
        </is>
      </c>
      <c r="C29" s="14" t="inlineStr">
        <is>
          <t>Payroll Runs</t>
        </is>
      </c>
      <c r="D29" s="14" t="inlineStr">
        <is>
          <t>Revenue</t>
        </is>
      </c>
      <c r="E29" s="14" t="inlineStr">
        <is>
          <t>Fixed</t>
        </is>
      </c>
      <c r="F29" s="14" t="inlineStr">
        <is>
          <t>Variable</t>
        </is>
      </c>
      <c r="G29" s="14" t="inlineStr">
        <is>
          <t>Total Expenses</t>
        </is>
      </c>
      <c r="H29" s="14" t="inlineStr">
        <is>
          <t>Net Profit</t>
        </is>
      </c>
      <c r="I29" s="14" t="inlineStr">
        <is>
          <t>Margin</t>
        </is>
      </c>
      <c r="J29" s="1" t="n"/>
      <c r="K29" s="14" t="inlineStr">
        <is>
          <t>Category</t>
        </is>
      </c>
      <c r="L29" s="14" t="inlineStr">
        <is>
          <t>Annual</t>
        </is>
      </c>
      <c r="M29" s="14" t="inlineStr">
        <is>
          <t>Monthly Avg</t>
        </is>
      </c>
      <c r="N29" s="14" t="inlineStr">
        <is>
          <t>% of Expenses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5" t="n">
        <v>46023</v>
      </c>
      <c r="C30" s="16">
        <f>COUNTIFS('Payroll'!$D$6:$D$35,B30)</f>
        <v/>
      </c>
      <c r="D30" s="17">
        <f>'Revenue'!D21</f>
        <v/>
      </c>
      <c r="E30" s="17">
        <f>SUMIFS('Expenses'!$F$6:$F$66,'Expenses'!$D$6:$D$66,"Fixed")</f>
        <v/>
      </c>
      <c r="F30" s="17">
        <f>SUMIFS('Expenses'!$F$6:$F$66,'Expenses'!$D$6:$D$66,"Variable")</f>
        <v/>
      </c>
      <c r="G30" s="17">
        <f>E30+F30</f>
        <v/>
      </c>
      <c r="H30" s="17">
        <f>D30-G30</f>
        <v/>
      </c>
      <c r="I30" s="18">
        <f>IFERROR(H30/D30,0)</f>
        <v/>
      </c>
      <c r="J30" s="1" t="n"/>
      <c r="K30" s="19" t="inlineStr">
        <is>
          <t>Payroll</t>
        </is>
      </c>
      <c r="L30" s="17">
        <f>SUMIF('Expenses'!$C$6:$C$66,K30,'Expenses'!$R$6:$R$66)</f>
        <v/>
      </c>
      <c r="M30" s="17">
        <f>L30/12</f>
        <v/>
      </c>
      <c r="N30" s="18">
        <f>IFERROR(L30/$L$47,0)</f>
        <v/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20" t="n">
        <v>46054</v>
      </c>
      <c r="C31" s="21">
        <f>COUNTIFS('Payroll'!$D$6:$D$35,B31)</f>
        <v/>
      </c>
      <c r="D31" s="22">
        <f>'Revenue'!E21</f>
        <v/>
      </c>
      <c r="E31" s="22">
        <f>SUMIFS('Expenses'!$G$6:$G$66,'Expenses'!$D$6:$D$66,"Fixed")</f>
        <v/>
      </c>
      <c r="F31" s="22">
        <f>SUMIFS('Expenses'!$G$6:$G$66,'Expenses'!$D$6:$D$66,"Variable")</f>
        <v/>
      </c>
      <c r="G31" s="22">
        <f>E31+F31</f>
        <v/>
      </c>
      <c r="H31" s="22">
        <f>D31-G31</f>
        <v/>
      </c>
      <c r="I31" s="23">
        <f>IFERROR(H31/D31,0)</f>
        <v/>
      </c>
      <c r="J31" s="1" t="n"/>
      <c r="K31" s="24" t="inlineStr">
        <is>
          <t>Rent &amp; Facilities</t>
        </is>
      </c>
      <c r="L31" s="22">
        <f>SUMIF('Expenses'!$C$6:$C$66,K31,'Expenses'!$R$6:$R$66)</f>
        <v/>
      </c>
      <c r="M31" s="22">
        <f>L31/12</f>
        <v/>
      </c>
      <c r="N31" s="23">
        <f>IFERROR(L31/$L$47,0)</f>
        <v/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5" t="n">
        <v>46082</v>
      </c>
      <c r="C32" s="16">
        <f>COUNTIFS('Payroll'!$D$6:$D$35,B32)</f>
        <v/>
      </c>
      <c r="D32" s="17">
        <f>'Revenue'!F21</f>
        <v/>
      </c>
      <c r="E32" s="17">
        <f>SUMIFS('Expenses'!$H$6:$H$66,'Expenses'!$D$6:$D$66,"Fixed")</f>
        <v/>
      </c>
      <c r="F32" s="17">
        <f>SUMIFS('Expenses'!$H$6:$H$66,'Expenses'!$D$6:$D$66,"Variable")</f>
        <v/>
      </c>
      <c r="G32" s="17">
        <f>E32+F32</f>
        <v/>
      </c>
      <c r="H32" s="17">
        <f>D32-G32</f>
        <v/>
      </c>
      <c r="I32" s="18">
        <f>IFERROR(H32/D32,0)</f>
        <v/>
      </c>
      <c r="J32" s="1" t="n"/>
      <c r="K32" s="19" t="inlineStr">
        <is>
          <t>Utilities</t>
        </is>
      </c>
      <c r="L32" s="17">
        <f>SUMIF('Expenses'!$C$6:$C$66,K32,'Expenses'!$R$6:$R$66)</f>
        <v/>
      </c>
      <c r="M32" s="17">
        <f>L32/12</f>
        <v/>
      </c>
      <c r="N32" s="18">
        <f>IFERROR(L32/$L$47,0)</f>
        <v/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20" t="n">
        <v>46113</v>
      </c>
      <c r="C33" s="21">
        <f>COUNTIFS('Payroll'!$D$6:$D$35,B33)</f>
        <v/>
      </c>
      <c r="D33" s="22">
        <f>'Revenue'!G21</f>
        <v/>
      </c>
      <c r="E33" s="22">
        <f>SUMIFS('Expenses'!$I$6:$I$66,'Expenses'!$D$6:$D$66,"Fixed")</f>
        <v/>
      </c>
      <c r="F33" s="22">
        <f>SUMIFS('Expenses'!$I$6:$I$66,'Expenses'!$D$6:$D$66,"Variable")</f>
        <v/>
      </c>
      <c r="G33" s="22">
        <f>E33+F33</f>
        <v/>
      </c>
      <c r="H33" s="22">
        <f>D33-G33</f>
        <v/>
      </c>
      <c r="I33" s="23">
        <f>IFERROR(H33/D33,0)</f>
        <v/>
      </c>
      <c r="J33" s="1" t="n"/>
      <c r="K33" s="24" t="inlineStr">
        <is>
          <t>Software &amp; Subscriptions</t>
        </is>
      </c>
      <c r="L33" s="22">
        <f>SUMIF('Expenses'!$C$6:$C$66,K33,'Expenses'!$R$6:$R$66)</f>
        <v/>
      </c>
      <c r="M33" s="22">
        <f>L33/12</f>
        <v/>
      </c>
      <c r="N33" s="23">
        <f>IFERROR(L33/$L$47,0)</f>
        <v/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5" t="n">
        <v>46143</v>
      </c>
      <c r="C34" s="16">
        <f>COUNTIFS('Payroll'!$D$6:$D$35,B34)</f>
        <v/>
      </c>
      <c r="D34" s="17">
        <f>'Revenue'!H21</f>
        <v/>
      </c>
      <c r="E34" s="17">
        <f>SUMIFS('Expenses'!$J$6:$J$66,'Expenses'!$D$6:$D$66,"Fixed")</f>
        <v/>
      </c>
      <c r="F34" s="17">
        <f>SUMIFS('Expenses'!$J$6:$J$66,'Expenses'!$D$6:$D$66,"Variable")</f>
        <v/>
      </c>
      <c r="G34" s="17">
        <f>E34+F34</f>
        <v/>
      </c>
      <c r="H34" s="17">
        <f>D34-G34</f>
        <v/>
      </c>
      <c r="I34" s="18">
        <f>IFERROR(H34/D34,0)</f>
        <v/>
      </c>
      <c r="J34" s="1" t="n"/>
      <c r="K34" s="19" t="inlineStr">
        <is>
          <t>Marketing &amp; Advertising</t>
        </is>
      </c>
      <c r="L34" s="17">
        <f>SUMIF('Expenses'!$C$6:$C$66,K34,'Expenses'!$R$6:$R$66)</f>
        <v/>
      </c>
      <c r="M34" s="17">
        <f>L34/12</f>
        <v/>
      </c>
      <c r="N34" s="18">
        <f>IFERROR(L34/$L$47,0)</f>
        <v/>
      </c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20" t="n">
        <v>46174</v>
      </c>
      <c r="C35" s="21">
        <f>COUNTIFS('Payroll'!$D$6:$D$35,B35)</f>
        <v/>
      </c>
      <c r="D35" s="22">
        <f>'Revenue'!I21</f>
        <v/>
      </c>
      <c r="E35" s="22">
        <f>SUMIFS('Expenses'!$K$6:$K$66,'Expenses'!$D$6:$D$66,"Fixed")</f>
        <v/>
      </c>
      <c r="F35" s="22">
        <f>SUMIFS('Expenses'!$K$6:$K$66,'Expenses'!$D$6:$D$66,"Variable")</f>
        <v/>
      </c>
      <c r="G35" s="22">
        <f>E35+F35</f>
        <v/>
      </c>
      <c r="H35" s="22">
        <f>D35-G35</f>
        <v/>
      </c>
      <c r="I35" s="23">
        <f>IFERROR(H35/D35,0)</f>
        <v/>
      </c>
      <c r="J35" s="1" t="n"/>
      <c r="K35" s="24" t="inlineStr">
        <is>
          <t>Inventory / COGS</t>
        </is>
      </c>
      <c r="L35" s="22">
        <f>SUMIF('Expenses'!$C$6:$C$66,K35,'Expenses'!$R$6:$R$66)</f>
        <v/>
      </c>
      <c r="M35" s="22">
        <f>L35/12</f>
        <v/>
      </c>
      <c r="N35" s="23">
        <f>IFERROR(L35/$L$47,0)</f>
        <v/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5" t="n">
        <v>46204</v>
      </c>
      <c r="C36" s="16">
        <f>COUNTIFS('Payroll'!$D$6:$D$35,B36)</f>
        <v/>
      </c>
      <c r="D36" s="17">
        <f>'Revenue'!J21</f>
        <v/>
      </c>
      <c r="E36" s="17">
        <f>SUMIFS('Expenses'!$L$6:$L$66,'Expenses'!$D$6:$D$66,"Fixed")</f>
        <v/>
      </c>
      <c r="F36" s="17">
        <f>SUMIFS('Expenses'!$L$6:$L$66,'Expenses'!$D$6:$D$66,"Variable")</f>
        <v/>
      </c>
      <c r="G36" s="17">
        <f>E36+F36</f>
        <v/>
      </c>
      <c r="H36" s="17">
        <f>D36-G36</f>
        <v/>
      </c>
      <c r="I36" s="18">
        <f>IFERROR(H36/D36,0)</f>
        <v/>
      </c>
      <c r="J36" s="1" t="n"/>
      <c r="K36" s="19" t="inlineStr">
        <is>
          <t>Contractors</t>
        </is>
      </c>
      <c r="L36" s="17">
        <f>SUMIF('Expenses'!$C$6:$C$66,K36,'Expenses'!$R$6:$R$66)</f>
        <v/>
      </c>
      <c r="M36" s="17">
        <f>L36/12</f>
        <v/>
      </c>
      <c r="N36" s="18">
        <f>IFERROR(L36/$L$47,0)</f>
        <v/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20" t="n">
        <v>46235</v>
      </c>
      <c r="C37" s="21">
        <f>COUNTIFS('Payroll'!$D$6:$D$35,B37)</f>
        <v/>
      </c>
      <c r="D37" s="22">
        <f>'Revenue'!K21</f>
        <v/>
      </c>
      <c r="E37" s="22">
        <f>SUMIFS('Expenses'!$M$6:$M$66,'Expenses'!$D$6:$D$66,"Fixed")</f>
        <v/>
      </c>
      <c r="F37" s="22">
        <f>SUMIFS('Expenses'!$M$6:$M$66,'Expenses'!$D$6:$D$66,"Variable")</f>
        <v/>
      </c>
      <c r="G37" s="22">
        <f>E37+F37</f>
        <v/>
      </c>
      <c r="H37" s="22">
        <f>D37-G37</f>
        <v/>
      </c>
      <c r="I37" s="23">
        <f>IFERROR(H37/D37,0)</f>
        <v/>
      </c>
      <c r="J37" s="1" t="n"/>
      <c r="K37" s="24" t="inlineStr">
        <is>
          <t>Supplies</t>
        </is>
      </c>
      <c r="L37" s="22">
        <f>SUMIF('Expenses'!$C$6:$C$66,K37,'Expenses'!$R$6:$R$66)</f>
        <v/>
      </c>
      <c r="M37" s="22">
        <f>L37/12</f>
        <v/>
      </c>
      <c r="N37" s="23">
        <f>IFERROR(L37/$L$47,0)</f>
        <v/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5" t="n">
        <v>46266</v>
      </c>
      <c r="C38" s="16">
        <f>COUNTIFS('Payroll'!$D$6:$D$35,B38)</f>
        <v/>
      </c>
      <c r="D38" s="17">
        <f>'Revenue'!L21</f>
        <v/>
      </c>
      <c r="E38" s="17">
        <f>SUMIFS('Expenses'!$N$6:$N$66,'Expenses'!$D$6:$D$66,"Fixed")</f>
        <v/>
      </c>
      <c r="F38" s="17">
        <f>SUMIFS('Expenses'!$N$6:$N$66,'Expenses'!$D$6:$D$66,"Variable")</f>
        <v/>
      </c>
      <c r="G38" s="17">
        <f>E38+F38</f>
        <v/>
      </c>
      <c r="H38" s="17">
        <f>D38-G38</f>
        <v/>
      </c>
      <c r="I38" s="18">
        <f>IFERROR(H38/D38,0)</f>
        <v/>
      </c>
      <c r="J38" s="1" t="n"/>
      <c r="K38" s="19" t="inlineStr">
        <is>
          <t>Insurance</t>
        </is>
      </c>
      <c r="L38" s="17">
        <f>SUMIF('Expenses'!$C$6:$C$66,K38,'Expenses'!$R$6:$R$66)</f>
        <v/>
      </c>
      <c r="M38" s="17">
        <f>L38/12</f>
        <v/>
      </c>
      <c r="N38" s="18">
        <f>IFERROR(L38/$L$47,0)</f>
        <v/>
      </c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20" t="n">
        <v>46296</v>
      </c>
      <c r="C39" s="21">
        <f>COUNTIFS('Payroll'!$D$6:$D$35,B39)</f>
        <v/>
      </c>
      <c r="D39" s="22">
        <f>'Revenue'!M21</f>
        <v/>
      </c>
      <c r="E39" s="22">
        <f>SUMIFS('Expenses'!$O$6:$O$66,'Expenses'!$D$6:$D$66,"Fixed")</f>
        <v/>
      </c>
      <c r="F39" s="22">
        <f>SUMIFS('Expenses'!$O$6:$O$66,'Expenses'!$D$6:$D$66,"Variable")</f>
        <v/>
      </c>
      <c r="G39" s="22">
        <f>E39+F39</f>
        <v/>
      </c>
      <c r="H39" s="22">
        <f>D39-G39</f>
        <v/>
      </c>
      <c r="I39" s="23">
        <f>IFERROR(H39/D39,0)</f>
        <v/>
      </c>
      <c r="J39" s="1" t="n"/>
      <c r="K39" s="24" t="inlineStr">
        <is>
          <t>Professional Fees</t>
        </is>
      </c>
      <c r="L39" s="22">
        <f>SUMIF('Expenses'!$C$6:$C$66,K39,'Expenses'!$R$6:$R$66)</f>
        <v/>
      </c>
      <c r="M39" s="22">
        <f>L39/12</f>
        <v/>
      </c>
      <c r="N39" s="23">
        <f>IFERROR(L39/$L$47,0)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5" t="n">
        <v>46327</v>
      </c>
      <c r="C40" s="16">
        <f>COUNTIFS('Payroll'!$D$6:$D$35,B40)</f>
        <v/>
      </c>
      <c r="D40" s="17">
        <f>'Revenue'!N21</f>
        <v/>
      </c>
      <c r="E40" s="17">
        <f>SUMIFS('Expenses'!$P$6:$P$66,'Expenses'!$D$6:$D$66,"Fixed")</f>
        <v/>
      </c>
      <c r="F40" s="17">
        <f>SUMIFS('Expenses'!$P$6:$P$66,'Expenses'!$D$6:$D$66,"Variable")</f>
        <v/>
      </c>
      <c r="G40" s="17">
        <f>E40+F40</f>
        <v/>
      </c>
      <c r="H40" s="17">
        <f>D40-G40</f>
        <v/>
      </c>
      <c r="I40" s="18">
        <f>IFERROR(H40/D40,0)</f>
        <v/>
      </c>
      <c r="J40" s="1" t="n"/>
      <c r="K40" s="19" t="inlineStr">
        <is>
          <t>Travel &amp; Meals</t>
        </is>
      </c>
      <c r="L40" s="17">
        <f>SUMIF('Expenses'!$C$6:$C$66,K40,'Expenses'!$R$6:$R$66)</f>
        <v/>
      </c>
      <c r="M40" s="17">
        <f>L40/12</f>
        <v/>
      </c>
      <c r="N40" s="18">
        <f>IFERROR(L40/$L$47,0)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20" t="n">
        <v>46357</v>
      </c>
      <c r="C41" s="21">
        <f>COUNTIFS('Payroll'!$D$6:$D$35,B41)</f>
        <v/>
      </c>
      <c r="D41" s="22">
        <f>'Revenue'!O21</f>
        <v/>
      </c>
      <c r="E41" s="22">
        <f>SUMIFS('Expenses'!$Q$6:$Q$66,'Expenses'!$D$6:$D$66,"Fixed")</f>
        <v/>
      </c>
      <c r="F41" s="22">
        <f>SUMIFS('Expenses'!$Q$6:$Q$66,'Expenses'!$D$6:$D$66,"Variable")</f>
        <v/>
      </c>
      <c r="G41" s="22">
        <f>E41+F41</f>
        <v/>
      </c>
      <c r="H41" s="22">
        <f>D41-G41</f>
        <v/>
      </c>
      <c r="I41" s="23">
        <f>IFERROR(H41/D41,0)</f>
        <v/>
      </c>
      <c r="J41" s="1" t="n"/>
      <c r="K41" s="24" t="inlineStr">
        <is>
          <t>Equipment</t>
        </is>
      </c>
      <c r="L41" s="22">
        <f>SUMIF('Expenses'!$C$6:$C$66,K41,'Expenses'!$R$6:$R$66)</f>
        <v/>
      </c>
      <c r="M41" s="22">
        <f>L41/12</f>
        <v/>
      </c>
      <c r="N41" s="23">
        <f>IFERROR(L41/$L$47,0)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25" t="inlineStr">
        <is>
          <t>TOTAL</t>
        </is>
      </c>
      <c r="C42" s="26">
        <f>SUM(C30:C41)</f>
        <v/>
      </c>
      <c r="D42" s="27">
        <f>SUM(D30:D41)</f>
        <v/>
      </c>
      <c r="E42" s="27">
        <f>SUM(E30:E41)</f>
        <v/>
      </c>
      <c r="F42" s="27">
        <f>SUM(F30:F41)</f>
        <v/>
      </c>
      <c r="G42" s="27">
        <f>SUM(G30:G41)</f>
        <v/>
      </c>
      <c r="H42" s="27">
        <f>SUM(H30:H41)</f>
        <v/>
      </c>
      <c r="I42" s="28">
        <f>IFERROR(H42/D42,0)</f>
        <v/>
      </c>
      <c r="J42" s="1" t="n"/>
      <c r="K42" s="19" t="inlineStr">
        <is>
          <t>Taxes &amp; Licenses</t>
        </is>
      </c>
      <c r="L42" s="17">
        <f>SUMIF('Expenses'!$C$6:$C$66,K42,'Expenses'!$R$6:$R$66)</f>
        <v/>
      </c>
      <c r="M42" s="17">
        <f>L42/12</f>
        <v/>
      </c>
      <c r="N42" s="18">
        <f>IFERROR(L42/$L$47,0)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24" t="inlineStr">
        <is>
          <t>Bank &amp; Merchant Fees</t>
        </is>
      </c>
      <c r="L43" s="22">
        <f>SUMIF('Expenses'!$C$6:$C$66,K43,'Expenses'!$R$6:$R$66)</f>
        <v/>
      </c>
      <c r="M43" s="22">
        <f>L43/12</f>
        <v/>
      </c>
      <c r="N43" s="23">
        <f>IFERROR(L43/$L$47,0)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9" t="inlineStr">
        <is>
          <t>Loan Payments</t>
        </is>
      </c>
      <c r="L44" s="17">
        <f>SUMIF('Expenses'!$C$6:$C$66,K44,'Expenses'!$R$6:$R$66)</f>
        <v/>
      </c>
      <c r="M44" s="17">
        <f>L44/12</f>
        <v/>
      </c>
      <c r="N44" s="18">
        <f>IFERROR(L44/$L$47,0)</f>
        <v/>
      </c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24" t="inlineStr">
        <is>
          <t>Owner Pay</t>
        </is>
      </c>
      <c r="L45" s="22">
        <f>SUMIF('Expenses'!$C$6:$C$66,K45,'Expenses'!$R$6:$R$66)</f>
        <v/>
      </c>
      <c r="M45" s="22">
        <f>L45/12</f>
        <v/>
      </c>
      <c r="N45" s="23">
        <f>IFERROR(L45/$L$47,0)</f>
        <v/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9" t="inlineStr">
        <is>
          <t>Other</t>
        </is>
      </c>
      <c r="L46" s="17">
        <f>SUMIF('Expenses'!$C$6:$C$66,K46,'Expenses'!$R$6:$R$66)</f>
        <v/>
      </c>
      <c r="M46" s="17">
        <f>L46/12</f>
        <v/>
      </c>
      <c r="N46" s="18">
        <f>IFERROR(L46/$L$47,0)</f>
        <v/>
      </c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25" t="inlineStr">
        <is>
          <t>TOTAL</t>
        </is>
      </c>
      <c r="L47" s="29">
        <f>SUM(L30:L46)</f>
        <v/>
      </c>
      <c r="M47" s="29">
        <f>SUM(M30:M46)</f>
        <v/>
      </c>
      <c r="N47" s="30">
        <f>IF(L47&gt;0,1,0)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3" t="inlineStr">
        <is>
          <t>Reserve Goals</t>
        </is>
      </c>
      <c r="C50" s="1" t="n"/>
      <c r="D50" s="1" t="n"/>
      <c r="E50" s="1" t="n"/>
      <c r="F50" s="1" t="n"/>
      <c r="G50" s="1" t="n"/>
      <c r="H50" s="13" t="inlineStr">
        <is>
          <t>Loans &amp; Credit</t>
        </is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 ht="22" customHeight="1">
      <c r="A51" s="1" t="n"/>
      <c r="B51" s="5" t="inlineStr">
        <is>
          <t>TOTAL TARGET</t>
        </is>
      </c>
      <c r="C51" s="6" t="n"/>
      <c r="D51" s="5" t="inlineStr">
        <is>
          <t>SAVED SO FAR</t>
        </is>
      </c>
      <c r="E51" s="6" t="n"/>
      <c r="F51" s="5" t="inlineStr">
        <is>
          <t>PROGRESS</t>
        </is>
      </c>
      <c r="G51" s="6" t="n"/>
      <c r="H51" s="5" t="inlineStr">
        <is>
          <t>TOTAL OWED</t>
        </is>
      </c>
      <c r="I51" s="6" t="n"/>
      <c r="J51" s="1" t="n"/>
      <c r="K51" s="5" t="inlineStr">
        <is>
          <t>MIN PAYMENTS</t>
        </is>
      </c>
      <c r="L51" s="6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 ht="32.4" customHeight="1">
      <c r="A52" s="1" t="n"/>
      <c r="B52" s="31">
        <f>'Reserve Goals'!C16</f>
        <v/>
      </c>
      <c r="C52" s="8" t="n"/>
      <c r="D52" s="31">
        <f>'Reserve Goals'!D16</f>
        <v/>
      </c>
      <c r="E52" s="8" t="n"/>
      <c r="F52" s="32">
        <f>IFERROR('Reserve Goals'!D16/'Reserve Goals'!C16,0)</f>
        <v/>
      </c>
      <c r="G52" s="8" t="n"/>
      <c r="H52" s="31">
        <f>'Loans &amp; Credit'!C16</f>
        <v/>
      </c>
      <c r="I52" s="8" t="n"/>
      <c r="J52" s="1" t="n"/>
      <c r="K52" s="31">
        <f>'Loans &amp; Credit'!E16</f>
        <v/>
      </c>
      <c r="L52" s="8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 ht="18" customHeight="1">
      <c r="A53" s="1" t="n"/>
      <c r="B53" s="11" t="inlineStr">
        <is>
          <t>across all goals</t>
        </is>
      </c>
      <c r="C53" s="12" t="n"/>
      <c r="D53" s="11" t="inlineStr">
        <is>
          <t>toward your goals</t>
        </is>
      </c>
      <c r="E53" s="12" t="n"/>
      <c r="F53" s="11" t="inlineStr">
        <is>
          <t>of total target</t>
        </is>
      </c>
      <c r="G53" s="12" t="n"/>
      <c r="H53" s="11" t="inlineStr">
        <is>
          <t>current balances</t>
        </is>
      </c>
      <c r="I53" s="12" t="n"/>
      <c r="J53" s="1" t="n"/>
      <c r="K53" s="11" t="inlineStr">
        <is>
          <t>per month</t>
        </is>
      </c>
      <c r="L53" s="12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6">
    <mergeCell ref="H53:I53"/>
    <mergeCell ref="B7:C7"/>
    <mergeCell ref="K5:L5"/>
    <mergeCell ref="F6:G6"/>
    <mergeCell ref="M5:N5"/>
    <mergeCell ref="F7:G7"/>
    <mergeCell ref="D6:E6"/>
    <mergeCell ref="B52:C52"/>
    <mergeCell ref="K51:L51"/>
    <mergeCell ref="D52:E52"/>
    <mergeCell ref="H6:I6"/>
    <mergeCell ref="B4:N4"/>
    <mergeCell ref="F5:G5"/>
    <mergeCell ref="F51:G51"/>
    <mergeCell ref="H51:I51"/>
    <mergeCell ref="B3:N3"/>
    <mergeCell ref="H52:I52"/>
    <mergeCell ref="B53:C53"/>
    <mergeCell ref="D53:E53"/>
    <mergeCell ref="M7:N7"/>
    <mergeCell ref="K52:L52"/>
    <mergeCell ref="D7:E7"/>
    <mergeCell ref="M6:N6"/>
    <mergeCell ref="H7:I7"/>
    <mergeCell ref="B2:N2"/>
    <mergeCell ref="F52:G52"/>
    <mergeCell ref="B6:C6"/>
    <mergeCell ref="K7:L7"/>
    <mergeCell ref="K53:L53"/>
    <mergeCell ref="B5:C5"/>
    <mergeCell ref="B51:C51"/>
    <mergeCell ref="D5:E5"/>
    <mergeCell ref="D51:E51"/>
    <mergeCell ref="H5:I5"/>
    <mergeCell ref="K6:L6"/>
    <mergeCell ref="F53:G53"/>
  </mergeCells>
  <conditionalFormatting sqref="H30:H4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30:C41">
    <cfRule type="expression" priority="3" dxfId="2">
      <formula>$C30&gt;MIN($C$30:$C$41)</formula>
    </cfRule>
  </conditionalFormatting>
  <conditionalFormatting sqref="L30:L46">
    <cfRule type="dataBar" priority="4">
      <dataBar minLength="0" maxLength="30">
        <cfvo type="num" val="0"/>
        <cfvo type="max"/>
        <color rgb="0014B8A6"/>
      </dataBar>
    </cfRule>
  </conditionalFormatting>
  <conditionalFormatting sqref="F6">
    <cfRule type="cellIs" priority="5" operator="lessThan" dxfId="3">
      <formula>0</formula>
    </cfRule>
    <cfRule type="cellIs" priority="6" operator="greaterThanOrEqual" dxfId="4">
      <formula>0</formula>
    </cfRule>
  </conditionalFormatting>
  <conditionalFormatting sqref="H6">
    <cfRule type="cellIs" priority="7" operator="lessThan" dxfId="3">
      <formula>0</formula>
    </cfRule>
    <cfRule type="cellIs" priority="8" operator="greaterThanOrEqual" dxfId="4">
      <formula>0</formula>
    </cfRule>
  </conditionalFormatting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  <headerFooter>
    <oddHeader/>
    <oddFooter>&amp;R&amp;8 &amp;K9AA3C2Budget Planner - Claude Skill by 6inq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14B8A6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5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Revenue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Enter expected revenue per month for each stream. Pick a Category from the dropdown.</t>
        </is>
      </c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Source</t>
        </is>
      </c>
      <c r="C5" s="14" t="inlineStr">
        <is>
          <t>Category</t>
        </is>
      </c>
      <c r="D5" s="33" t="n">
        <v>46023</v>
      </c>
      <c r="E5" s="33" t="n">
        <v>46054</v>
      </c>
      <c r="F5" s="33" t="n">
        <v>46082</v>
      </c>
      <c r="G5" s="33" t="n">
        <v>46113</v>
      </c>
      <c r="H5" s="33" t="n">
        <v>46143</v>
      </c>
      <c r="I5" s="33" t="n">
        <v>46174</v>
      </c>
      <c r="J5" s="33" t="n">
        <v>46204</v>
      </c>
      <c r="K5" s="33" t="n">
        <v>46235</v>
      </c>
      <c r="L5" s="33" t="n">
        <v>46266</v>
      </c>
      <c r="M5" s="33" t="n">
        <v>46296</v>
      </c>
      <c r="N5" s="33" t="n">
        <v>46327</v>
      </c>
      <c r="O5" s="33" t="n">
        <v>46357</v>
      </c>
      <c r="P5" s="14" t="inlineStr">
        <is>
          <t>Annual Total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4" t="inlineStr">
        <is>
          <t>Client retainers</t>
        </is>
      </c>
      <c r="C6" s="34" t="inlineStr">
        <is>
          <t>Recurring / Subscriptions</t>
        </is>
      </c>
      <c r="D6" s="35" t="n">
        <v>14000</v>
      </c>
      <c r="E6" s="35" t="n">
        <v>14000</v>
      </c>
      <c r="F6" s="35" t="n">
        <v>14000</v>
      </c>
      <c r="G6" s="35" t="n">
        <v>14000</v>
      </c>
      <c r="H6" s="35" t="n">
        <v>14000</v>
      </c>
      <c r="I6" s="35" t="n">
        <v>14000</v>
      </c>
      <c r="J6" s="35" t="n">
        <v>14000</v>
      </c>
      <c r="K6" s="35" t="n">
        <v>14000</v>
      </c>
      <c r="L6" s="35" t="n">
        <v>14000</v>
      </c>
      <c r="M6" s="35" t="n">
        <v>14000</v>
      </c>
      <c r="N6" s="35" t="n">
        <v>14000</v>
      </c>
      <c r="O6" s="35" t="n">
        <v>14000</v>
      </c>
      <c r="P6" s="36">
        <f>IF(COUNT(D6:O6)=0,"",SUM(D6:O6))</f>
        <v/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inlineStr">
        <is>
          <t>Project work</t>
        </is>
      </c>
      <c r="C7" s="37" t="inlineStr">
        <is>
          <t>Services</t>
        </is>
      </c>
      <c r="D7" s="38" t="n">
        <v>6000</v>
      </c>
      <c r="E7" s="38" t="n">
        <v>5000</v>
      </c>
      <c r="F7" s="38" t="n">
        <v>9000</v>
      </c>
      <c r="G7" s="38" t="n">
        <v>8000</v>
      </c>
      <c r="H7" s="38" t="n">
        <v>7000</v>
      </c>
      <c r="I7" s="38" t="n">
        <v>12000</v>
      </c>
      <c r="J7" s="38" t="n">
        <v>6000</v>
      </c>
      <c r="K7" s="38" t="n">
        <v>5000</v>
      </c>
      <c r="L7" s="38" t="n">
        <v>9000</v>
      </c>
      <c r="M7" s="38" t="n">
        <v>11000</v>
      </c>
      <c r="N7" s="38" t="n">
        <v>14000</v>
      </c>
      <c r="O7" s="38" t="n">
        <v>8000</v>
      </c>
      <c r="P7" s="36">
        <f>IF(COUNT(D7:O7)=0,"",SUM(D7:O7))</f>
        <v/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4" t="inlineStr">
        <is>
          <t>Template shop</t>
        </is>
      </c>
      <c r="C8" s="34" t="inlineStr">
        <is>
          <t>Product Sales</t>
        </is>
      </c>
      <c r="D8" s="35" t="n">
        <v>1200</v>
      </c>
      <c r="E8" s="35" t="n">
        <v>1200</v>
      </c>
      <c r="F8" s="35" t="n">
        <v>1200</v>
      </c>
      <c r="G8" s="35" t="n">
        <v>1200</v>
      </c>
      <c r="H8" s="35" t="n">
        <v>1200</v>
      </c>
      <c r="I8" s="35" t="n">
        <v>1200</v>
      </c>
      <c r="J8" s="35" t="n">
        <v>1200</v>
      </c>
      <c r="K8" s="35" t="n">
        <v>1200</v>
      </c>
      <c r="L8" s="35" t="n">
        <v>1200</v>
      </c>
      <c r="M8" s="35" t="n">
        <v>1200</v>
      </c>
      <c r="N8" s="35" t="n">
        <v>1200</v>
      </c>
      <c r="O8" s="35" t="n">
        <v>1200</v>
      </c>
      <c r="P8" s="36">
        <f>IF(COUNT(D8:O8)=0,"",SUM(D8:O8))</f>
        <v/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n"/>
      <c r="C9" s="37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6">
        <f>IF(COUNT(D9:O9)=0,"",SUM(D9:O9))</f>
        <v/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4" t="n"/>
      <c r="C10" s="34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6">
        <f>IF(COUNT(D10:O10)=0,"",SUM(D10:O10))</f>
        <v/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n"/>
      <c r="C11" s="37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6">
        <f>IF(COUNT(D11:O11)=0,"",SUM(D11:O11))</f>
        <v/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4" t="n"/>
      <c r="C12" s="34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/>
      <c r="P12" s="36">
        <f>IF(COUNT(D12:O12)=0,"",SUM(D12:O12))</f>
        <v/>
      </c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n"/>
      <c r="C13" s="37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6">
        <f>IF(COUNT(D13:O13)=0,"",SUM(D13:O13))</f>
        <v/>
      </c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4" t="n"/>
      <c r="C14" s="34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6">
        <f>IF(COUNT(D14:O14)=0,"",SUM(D14:O14))</f>
        <v/>
      </c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n"/>
      <c r="C15" s="37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6">
        <f>IF(COUNT(D15:O15)=0,"",SUM(D15:O15))</f>
        <v/>
      </c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34" t="n"/>
      <c r="C16" s="34" t="n"/>
      <c r="D16" s="35" t="n"/>
      <c r="E16" s="35" t="n"/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6">
        <f>IF(COUNT(D16:O16)=0,"",SUM(D16:O16))</f>
        <v/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7" t="n"/>
      <c r="C17" s="37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6">
        <f>IF(COUNT(D17:O17)=0,"",SUM(D17:O17))</f>
        <v/>
      </c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34" t="n"/>
      <c r="C18" s="34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6">
        <f>IF(COUNT(D18:O18)=0,"",SUM(D18:O18))</f>
        <v/>
      </c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7" t="n"/>
      <c r="C19" s="37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6">
        <f>IF(COUNT(D19:O19)=0,"",SUM(D19:O19))</f>
        <v/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34" t="n"/>
      <c r="C20" s="34" t="n"/>
      <c r="D20" s="35" t="n"/>
      <c r="E20" s="35" t="n"/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6">
        <f>IF(COUNT(D20:O20)=0,"",SUM(D20:O20))</f>
        <v/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 ht="22" customHeight="1">
      <c r="A21" s="1" t="n"/>
      <c r="B21" s="25" t="inlineStr">
        <is>
          <t>TOTAL REVENUE</t>
        </is>
      </c>
      <c r="C21" s="25" t="n"/>
      <c r="D21" s="29">
        <f>SUM(D6:D20)</f>
        <v/>
      </c>
      <c r="E21" s="29">
        <f>SUM(E6:E20)</f>
        <v/>
      </c>
      <c r="F21" s="29">
        <f>SUM(F6:F20)</f>
        <v/>
      </c>
      <c r="G21" s="29">
        <f>SUM(G6:G20)</f>
        <v/>
      </c>
      <c r="H21" s="29">
        <f>SUM(H6:H20)</f>
        <v/>
      </c>
      <c r="I21" s="29">
        <f>SUM(I6:I20)</f>
        <v/>
      </c>
      <c r="J21" s="29">
        <f>SUM(J6:J20)</f>
        <v/>
      </c>
      <c r="K21" s="29">
        <f>SUM(K6:K20)</f>
        <v/>
      </c>
      <c r="L21" s="29">
        <f>SUM(L6:L20)</f>
        <v/>
      </c>
      <c r="M21" s="29">
        <f>SUM(M6:M20)</f>
        <v/>
      </c>
      <c r="N21" s="29">
        <f>SUM(N6:N20)</f>
        <v/>
      </c>
      <c r="O21" s="29">
        <f>SUM(O6:O20)</f>
        <v/>
      </c>
      <c r="P21" s="29">
        <f>SUM(P6:P20)</f>
        <v/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P3"/>
    <mergeCell ref="B2:P2"/>
    <mergeCell ref="B4:P4"/>
  </mergeCells>
  <dataValidations count="1">
    <dataValidation sqref="C6:C20" showDropDown="0" showInputMessage="0" showErrorMessage="0" allowBlank="1" type="list">
      <formula1>=Lists!$C$2:$C$8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B8A6"/>
    <outlinePr summaryBelow="1" summaryRight="1"/>
    <pageSetUpPr fitToPage="1"/>
  </sheetPr>
  <dimension ref="A1:AD2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14" customWidth="1" min="4" max="4"/>
    <col width="16" customWidth="1" min="5" max="5"/>
    <col width="36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Payroll Calendar</t>
        </is>
      </c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Every payroll date in your budget period. Enter the total cost of each run (wages, taxes, benefits).</t>
        </is>
      </c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#</t>
        </is>
      </c>
      <c r="C5" s="14" t="inlineStr">
        <is>
          <t>Payroll Date</t>
        </is>
      </c>
      <c r="D5" s="14" t="inlineStr">
        <is>
          <t>Month</t>
        </is>
      </c>
      <c r="E5" s="14" t="inlineStr">
        <is>
          <t>Payroll Cost</t>
        </is>
      </c>
      <c r="F5" s="14" t="inlineStr">
        <is>
          <t>Notes</t>
        </is>
      </c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9" t="n">
        <v>1</v>
      </c>
      <c r="C6" s="40" t="n">
        <v>46037</v>
      </c>
      <c r="D6" s="41">
        <f>IF(C6="","",DATE(YEAR(C6),MONTH(C6),1))</f>
        <v/>
      </c>
      <c r="E6" s="35" t="n">
        <v>6800</v>
      </c>
      <c r="F6" s="34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9" t="n">
        <v>2</v>
      </c>
      <c r="C7" s="42" t="n">
        <v>46053</v>
      </c>
      <c r="D7" s="41">
        <f>IF(C7="","",DATE(YEAR(C7),MONTH(C7),1))</f>
        <v/>
      </c>
      <c r="E7" s="38" t="n">
        <v>6800</v>
      </c>
      <c r="F7" s="37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9" t="n">
        <v>3</v>
      </c>
      <c r="C8" s="40" t="n">
        <v>46068</v>
      </c>
      <c r="D8" s="41">
        <f>IF(C8="","",DATE(YEAR(C8),MONTH(C8),1))</f>
        <v/>
      </c>
      <c r="E8" s="35" t="n">
        <v>6800</v>
      </c>
      <c r="F8" s="34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9" t="n">
        <v>4</v>
      </c>
      <c r="C9" s="42" t="n">
        <v>46081</v>
      </c>
      <c r="D9" s="41">
        <f>IF(C9="","",DATE(YEAR(C9),MONTH(C9),1))</f>
        <v/>
      </c>
      <c r="E9" s="38" t="n">
        <v>6800</v>
      </c>
      <c r="F9" s="37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9" t="n">
        <v>5</v>
      </c>
      <c r="C10" s="40" t="n">
        <v>46096</v>
      </c>
      <c r="D10" s="41">
        <f>IF(C10="","",DATE(YEAR(C10),MONTH(C10),1))</f>
        <v/>
      </c>
      <c r="E10" s="35" t="n">
        <v>6800</v>
      </c>
      <c r="F10" s="34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9" t="n">
        <v>6</v>
      </c>
      <c r="C11" s="42" t="n">
        <v>46112</v>
      </c>
      <c r="D11" s="41">
        <f>IF(C11="","",DATE(YEAR(C11),MONTH(C11),1))</f>
        <v/>
      </c>
      <c r="E11" s="38" t="n">
        <v>6800</v>
      </c>
      <c r="F11" s="37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9" t="n">
        <v>7</v>
      </c>
      <c r="C12" s="40" t="n">
        <v>46127</v>
      </c>
      <c r="D12" s="41">
        <f>IF(C12="","",DATE(YEAR(C12),MONTH(C12),1))</f>
        <v/>
      </c>
      <c r="E12" s="35" t="n">
        <v>6800</v>
      </c>
      <c r="F12" s="34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9" t="n">
        <v>8</v>
      </c>
      <c r="C13" s="42" t="n">
        <v>46142</v>
      </c>
      <c r="D13" s="41">
        <f>IF(C13="","",DATE(YEAR(C13),MONTH(C13),1))</f>
        <v/>
      </c>
      <c r="E13" s="38" t="n">
        <v>6800</v>
      </c>
      <c r="F13" s="37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9" t="n">
        <v>9</v>
      </c>
      <c r="C14" s="40" t="n">
        <v>46157</v>
      </c>
      <c r="D14" s="41">
        <f>IF(C14="","",DATE(YEAR(C14),MONTH(C14),1))</f>
        <v/>
      </c>
      <c r="E14" s="35" t="n">
        <v>6800</v>
      </c>
      <c r="F14" s="34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9" t="n">
        <v>10</v>
      </c>
      <c r="C15" s="42" t="n">
        <v>46173</v>
      </c>
      <c r="D15" s="41">
        <f>IF(C15="","",DATE(YEAR(C15),MONTH(C15),1))</f>
        <v/>
      </c>
      <c r="E15" s="38" t="n">
        <v>6800</v>
      </c>
      <c r="F15" s="37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39" t="n">
        <v>11</v>
      </c>
      <c r="C16" s="40" t="n">
        <v>46188</v>
      </c>
      <c r="D16" s="41">
        <f>IF(C16="","",DATE(YEAR(C16),MONTH(C16),1))</f>
        <v/>
      </c>
      <c r="E16" s="35" t="n">
        <v>6800</v>
      </c>
      <c r="F16" s="34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9" t="n">
        <v>12</v>
      </c>
      <c r="C17" s="42" t="n">
        <v>46203</v>
      </c>
      <c r="D17" s="41">
        <f>IF(C17="","",DATE(YEAR(C17),MONTH(C17),1))</f>
        <v/>
      </c>
      <c r="E17" s="38" t="n">
        <v>6800</v>
      </c>
      <c r="F17" s="37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39" t="n">
        <v>13</v>
      </c>
      <c r="C18" s="40" t="n">
        <v>46218</v>
      </c>
      <c r="D18" s="41">
        <f>IF(C18="","",DATE(YEAR(C18),MONTH(C18),1))</f>
        <v/>
      </c>
      <c r="E18" s="35" t="n">
        <v>6800</v>
      </c>
      <c r="F18" s="34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9" t="n">
        <v>14</v>
      </c>
      <c r="C19" s="42" t="n">
        <v>46234</v>
      </c>
      <c r="D19" s="41">
        <f>IF(C19="","",DATE(YEAR(C19),MONTH(C19),1))</f>
        <v/>
      </c>
      <c r="E19" s="38" t="n">
        <v>6800</v>
      </c>
      <c r="F19" s="37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39" t="n">
        <v>15</v>
      </c>
      <c r="C20" s="40" t="n">
        <v>46249</v>
      </c>
      <c r="D20" s="41">
        <f>IF(C20="","",DATE(YEAR(C20),MONTH(C20),1))</f>
        <v/>
      </c>
      <c r="E20" s="35" t="n">
        <v>6800</v>
      </c>
      <c r="F20" s="34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39" t="n">
        <v>16</v>
      </c>
      <c r="C21" s="42" t="n">
        <v>46265</v>
      </c>
      <c r="D21" s="41">
        <f>IF(C21="","",DATE(YEAR(C21),MONTH(C21),1))</f>
        <v/>
      </c>
      <c r="E21" s="38" t="n">
        <v>6800</v>
      </c>
      <c r="F21" s="37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39" t="n">
        <v>17</v>
      </c>
      <c r="C22" s="40" t="n">
        <v>46280</v>
      </c>
      <c r="D22" s="41">
        <f>IF(C22="","",DATE(YEAR(C22),MONTH(C22),1))</f>
        <v/>
      </c>
      <c r="E22" s="35" t="n">
        <v>6800</v>
      </c>
      <c r="F22" s="34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39" t="n">
        <v>18</v>
      </c>
      <c r="C23" s="42" t="n">
        <v>46295</v>
      </c>
      <c r="D23" s="41">
        <f>IF(C23="","",DATE(YEAR(C23),MONTH(C23),1))</f>
        <v/>
      </c>
      <c r="E23" s="38" t="n">
        <v>6800</v>
      </c>
      <c r="F23" s="37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39" t="n">
        <v>19</v>
      </c>
      <c r="C24" s="40" t="n">
        <v>46310</v>
      </c>
      <c r="D24" s="41">
        <f>IF(C24="","",DATE(YEAR(C24),MONTH(C24),1))</f>
        <v/>
      </c>
      <c r="E24" s="35" t="n">
        <v>6800</v>
      </c>
      <c r="F24" s="3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39" t="n">
        <v>20</v>
      </c>
      <c r="C25" s="42" t="n">
        <v>46326</v>
      </c>
      <c r="D25" s="41">
        <f>IF(C25="","",DATE(YEAR(C25),MONTH(C25),1))</f>
        <v/>
      </c>
      <c r="E25" s="38" t="n">
        <v>6800</v>
      </c>
      <c r="F25" s="37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39" t="n">
        <v>21</v>
      </c>
      <c r="C26" s="40" t="n">
        <v>46341</v>
      </c>
      <c r="D26" s="41">
        <f>IF(C26="","",DATE(YEAR(C26),MONTH(C26),1))</f>
        <v/>
      </c>
      <c r="E26" s="35" t="n">
        <v>6800</v>
      </c>
      <c r="F26" s="34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39" t="n">
        <v>22</v>
      </c>
      <c r="C27" s="42" t="n">
        <v>46356</v>
      </c>
      <c r="D27" s="41">
        <f>IF(C27="","",DATE(YEAR(C27),MONTH(C27),1))</f>
        <v/>
      </c>
      <c r="E27" s="38" t="n">
        <v>6800</v>
      </c>
      <c r="F27" s="37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39" t="n">
        <v>23</v>
      </c>
      <c r="C28" s="40" t="n">
        <v>46371</v>
      </c>
      <c r="D28" s="41">
        <f>IF(C28="","",DATE(YEAR(C28),MONTH(C28),1))</f>
        <v/>
      </c>
      <c r="E28" s="35" t="n">
        <v>6800</v>
      </c>
      <c r="F28" s="34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39" t="n">
        <v>24</v>
      </c>
      <c r="C29" s="42" t="n">
        <v>46387</v>
      </c>
      <c r="D29" s="41">
        <f>IF(C29="","",DATE(YEAR(C29),MONTH(C29),1))</f>
        <v/>
      </c>
      <c r="E29" s="38" t="n">
        <v>6800</v>
      </c>
      <c r="F29" s="37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39" t="n"/>
      <c r="C30" s="40" t="n"/>
      <c r="D30" s="41">
        <f>IF(C30="","",DATE(YEAR(C30),MONTH(C30),1))</f>
        <v/>
      </c>
      <c r="E30" s="35" t="n"/>
      <c r="F30" s="34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39" t="n"/>
      <c r="C31" s="42" t="n"/>
      <c r="D31" s="41">
        <f>IF(C31="","",DATE(YEAR(C31),MONTH(C31),1))</f>
        <v/>
      </c>
      <c r="E31" s="38" t="n"/>
      <c r="F31" s="37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39" t="n"/>
      <c r="C32" s="40" t="n"/>
      <c r="D32" s="41">
        <f>IF(C32="","",DATE(YEAR(C32),MONTH(C32),1))</f>
        <v/>
      </c>
      <c r="E32" s="35" t="n"/>
      <c r="F32" s="34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39" t="n"/>
      <c r="C33" s="42" t="n"/>
      <c r="D33" s="41">
        <f>IF(C33="","",DATE(YEAR(C33),MONTH(C33),1))</f>
        <v/>
      </c>
      <c r="E33" s="38" t="n"/>
      <c r="F33" s="37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39" t="n"/>
      <c r="C34" s="40" t="n"/>
      <c r="D34" s="41">
        <f>IF(C34="","",DATE(YEAR(C34),MONTH(C34),1))</f>
        <v/>
      </c>
      <c r="E34" s="35" t="n"/>
      <c r="F34" s="34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39" t="n"/>
      <c r="C35" s="42" t="n"/>
      <c r="D35" s="41">
        <f>IF(C35="","",DATE(YEAR(C35),MONTH(C35),1))</f>
        <v/>
      </c>
      <c r="E35" s="38" t="n"/>
      <c r="F35" s="37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 ht="22" customHeight="1">
      <c r="A36" s="1" t="n"/>
      <c r="B36" s="25" t="inlineStr">
        <is>
          <t>TOTAL</t>
        </is>
      </c>
      <c r="C36" s="25" t="n"/>
      <c r="D36" s="25" t="n"/>
      <c r="E36" s="29">
        <f>SUM(E6:E35)</f>
        <v/>
      </c>
      <c r="F36" s="25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2:F2"/>
    <mergeCell ref="B4:F4"/>
    <mergeCell ref="B3:F3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B8A6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1" customWidth="1" min="4" max="4"/>
    <col width="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5" customWidth="1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Business Expenses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Fixed = same every month (rent, software, payroll). Variable = changes with activity (inventory, ads). Payroll fills from the Payroll sheet.</t>
        </is>
      </c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Name</t>
        </is>
      </c>
      <c r="C5" s="14" t="inlineStr">
        <is>
          <t>Category</t>
        </is>
      </c>
      <c r="D5" s="14" t="inlineStr">
        <is>
          <t>Type</t>
        </is>
      </c>
      <c r="E5" s="14" t="inlineStr">
        <is>
          <t>Due Day</t>
        </is>
      </c>
      <c r="F5" s="33" t="n">
        <v>46023</v>
      </c>
      <c r="G5" s="33" t="n">
        <v>46054</v>
      </c>
      <c r="H5" s="33" t="n">
        <v>46082</v>
      </c>
      <c r="I5" s="33" t="n">
        <v>46113</v>
      </c>
      <c r="J5" s="33" t="n">
        <v>46143</v>
      </c>
      <c r="K5" s="33" t="n">
        <v>46174</v>
      </c>
      <c r="L5" s="33" t="n">
        <v>46204</v>
      </c>
      <c r="M5" s="33" t="n">
        <v>46235</v>
      </c>
      <c r="N5" s="33" t="n">
        <v>46266</v>
      </c>
      <c r="O5" s="33" t="n">
        <v>46296</v>
      </c>
      <c r="P5" s="33" t="n">
        <v>46327</v>
      </c>
      <c r="Q5" s="33" t="n">
        <v>46357</v>
      </c>
      <c r="R5" s="14" t="inlineStr">
        <is>
          <t>Annual Total</t>
        </is>
      </c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43" t="inlineStr">
        <is>
          <t>Payroll (Semi-monthly (15th &amp; Last day))</t>
        </is>
      </c>
      <c r="C6" s="44" t="inlineStr">
        <is>
          <t>Payroll</t>
        </is>
      </c>
      <c r="D6" s="45" t="inlineStr">
        <is>
          <t>Fixed</t>
        </is>
      </c>
      <c r="E6" s="44" t="n"/>
      <c r="F6" s="46">
        <f>SUMIFS('Payroll'!$E$6:$E$35,'Payroll'!$D$6:$D$35,F$5)</f>
        <v/>
      </c>
      <c r="G6" s="46">
        <f>SUMIFS('Payroll'!$E$6:$E$35,'Payroll'!$D$6:$D$35,G$5)</f>
        <v/>
      </c>
      <c r="H6" s="46">
        <f>SUMIFS('Payroll'!$E$6:$E$35,'Payroll'!$D$6:$D$35,H$5)</f>
        <v/>
      </c>
      <c r="I6" s="46">
        <f>SUMIFS('Payroll'!$E$6:$E$35,'Payroll'!$D$6:$D$35,I$5)</f>
        <v/>
      </c>
      <c r="J6" s="46">
        <f>SUMIFS('Payroll'!$E$6:$E$35,'Payroll'!$D$6:$D$35,J$5)</f>
        <v/>
      </c>
      <c r="K6" s="46">
        <f>SUMIFS('Payroll'!$E$6:$E$35,'Payroll'!$D$6:$D$35,K$5)</f>
        <v/>
      </c>
      <c r="L6" s="46">
        <f>SUMIFS('Payroll'!$E$6:$E$35,'Payroll'!$D$6:$D$35,L$5)</f>
        <v/>
      </c>
      <c r="M6" s="46">
        <f>SUMIFS('Payroll'!$E$6:$E$35,'Payroll'!$D$6:$D$35,M$5)</f>
        <v/>
      </c>
      <c r="N6" s="46">
        <f>SUMIFS('Payroll'!$E$6:$E$35,'Payroll'!$D$6:$D$35,N$5)</f>
        <v/>
      </c>
      <c r="O6" s="46">
        <f>SUMIFS('Payroll'!$E$6:$E$35,'Payroll'!$D$6:$D$35,O$5)</f>
        <v/>
      </c>
      <c r="P6" s="46">
        <f>SUMIFS('Payroll'!$E$6:$E$35,'Payroll'!$D$6:$D$35,P$5)</f>
        <v/>
      </c>
      <c r="Q6" s="46">
        <f>SUMIFS('Payroll'!$E$6:$E$35,'Payroll'!$D$6:$D$35,Q$5)</f>
        <v/>
      </c>
      <c r="R6" s="36">
        <f>IF(COUNT(F6:Q6)=0,"",SUM(F6:Q6))</f>
        <v/>
      </c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inlineStr">
        <is>
          <t>Studio Lease</t>
        </is>
      </c>
      <c r="C7" s="37" t="inlineStr">
        <is>
          <t>Rent &amp; Facilities</t>
        </is>
      </c>
      <c r="D7" s="47" t="inlineStr">
        <is>
          <t>Fixed</t>
        </is>
      </c>
      <c r="E7" s="47" t="n">
        <v>1</v>
      </c>
      <c r="F7" s="38" t="n">
        <v>2400</v>
      </c>
      <c r="G7" s="38" t="n">
        <v>2400</v>
      </c>
      <c r="H7" s="38" t="n">
        <v>2400</v>
      </c>
      <c r="I7" s="38" t="n">
        <v>2400</v>
      </c>
      <c r="J7" s="38" t="n">
        <v>2400</v>
      </c>
      <c r="K7" s="38" t="n">
        <v>2400</v>
      </c>
      <c r="L7" s="38" t="n">
        <v>2400</v>
      </c>
      <c r="M7" s="38" t="n">
        <v>2400</v>
      </c>
      <c r="N7" s="38" t="n">
        <v>2400</v>
      </c>
      <c r="O7" s="38" t="n">
        <v>2400</v>
      </c>
      <c r="P7" s="38" t="n">
        <v>2400</v>
      </c>
      <c r="Q7" s="38" t="n">
        <v>2400</v>
      </c>
      <c r="R7" s="36">
        <f>IF(COUNT(F7:Q7)=0,"",SUM(F7:Q7))</f>
        <v/>
      </c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4" t="inlineStr">
        <is>
          <t>Software &amp; SaaS</t>
        </is>
      </c>
      <c r="C8" s="34" t="inlineStr">
        <is>
          <t>Software &amp; Subscriptions</t>
        </is>
      </c>
      <c r="D8" s="48" t="inlineStr">
        <is>
          <t>Fixed</t>
        </is>
      </c>
      <c r="E8" s="48" t="n">
        <v>5</v>
      </c>
      <c r="F8" s="35" t="n">
        <v>640</v>
      </c>
      <c r="G8" s="35" t="n">
        <v>640</v>
      </c>
      <c r="H8" s="35" t="n">
        <v>640</v>
      </c>
      <c r="I8" s="35" t="n">
        <v>640</v>
      </c>
      <c r="J8" s="35" t="n">
        <v>640</v>
      </c>
      <c r="K8" s="35" t="n">
        <v>640</v>
      </c>
      <c r="L8" s="35" t="n">
        <v>640</v>
      </c>
      <c r="M8" s="35" t="n">
        <v>640</v>
      </c>
      <c r="N8" s="35" t="n">
        <v>640</v>
      </c>
      <c r="O8" s="35" t="n">
        <v>640</v>
      </c>
      <c r="P8" s="35" t="n">
        <v>640</v>
      </c>
      <c r="Q8" s="35" t="n">
        <v>640</v>
      </c>
      <c r="R8" s="36">
        <f>IF(COUNT(F8:Q8)=0,"",SUM(F8:Q8))</f>
        <v/>
      </c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inlineStr">
        <is>
          <t>Business Insurance</t>
        </is>
      </c>
      <c r="C9" s="37" t="inlineStr">
        <is>
          <t>Insurance</t>
        </is>
      </c>
      <c r="D9" s="47" t="inlineStr">
        <is>
          <t>Fixed</t>
        </is>
      </c>
      <c r="E9" s="47" t="n"/>
      <c r="F9" s="38" t="n">
        <v>1800</v>
      </c>
      <c r="G9" s="38" t="n"/>
      <c r="H9" s="38" t="n"/>
      <c r="I9" s="38" t="n">
        <v>1800</v>
      </c>
      <c r="J9" s="38" t="n"/>
      <c r="K9" s="38" t="n"/>
      <c r="L9" s="38" t="n">
        <v>1800</v>
      </c>
      <c r="M9" s="38" t="n"/>
      <c r="N9" s="38" t="n"/>
      <c r="O9" s="38" t="n">
        <v>1800</v>
      </c>
      <c r="P9" s="38" t="n"/>
      <c r="Q9" s="38" t="n"/>
      <c r="R9" s="36">
        <f>IF(COUNT(F9:Q9)=0,"",SUM(F9:Q9))</f>
        <v/>
      </c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4" t="inlineStr">
        <is>
          <t>Bookkeeping</t>
        </is>
      </c>
      <c r="C10" s="34" t="inlineStr">
        <is>
          <t>Professional Fees</t>
        </is>
      </c>
      <c r="D10" s="48" t="inlineStr">
        <is>
          <t>Fixed</t>
        </is>
      </c>
      <c r="E10" s="48" t="n">
        <v>10</v>
      </c>
      <c r="F10" s="35" t="n">
        <v>450</v>
      </c>
      <c r="G10" s="35" t="n">
        <v>450</v>
      </c>
      <c r="H10" s="35" t="n">
        <v>450</v>
      </c>
      <c r="I10" s="35" t="n">
        <v>450</v>
      </c>
      <c r="J10" s="35" t="n">
        <v>450</v>
      </c>
      <c r="K10" s="35" t="n">
        <v>450</v>
      </c>
      <c r="L10" s="35" t="n">
        <v>450</v>
      </c>
      <c r="M10" s="35" t="n">
        <v>450</v>
      </c>
      <c r="N10" s="35" t="n">
        <v>450</v>
      </c>
      <c r="O10" s="35" t="n">
        <v>450</v>
      </c>
      <c r="P10" s="35" t="n">
        <v>450</v>
      </c>
      <c r="Q10" s="35" t="n">
        <v>450</v>
      </c>
      <c r="R10" s="36">
        <f>IF(COUNT(F10:Q10)=0,"",SUM(F10:Q10))</f>
        <v/>
      </c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inlineStr">
        <is>
          <t>Ads &amp; Promotion</t>
        </is>
      </c>
      <c r="C11" s="37" t="inlineStr">
        <is>
          <t>Marketing &amp; Advertising</t>
        </is>
      </c>
      <c r="D11" s="47" t="inlineStr">
        <is>
          <t>Variable</t>
        </is>
      </c>
      <c r="E11" s="47" t="n"/>
      <c r="F11" s="38" t="n">
        <v>900</v>
      </c>
      <c r="G11" s="38" t="n">
        <v>900</v>
      </c>
      <c r="H11" s="38" t="n">
        <v>900</v>
      </c>
      <c r="I11" s="38" t="n">
        <v>900</v>
      </c>
      <c r="J11" s="38" t="n">
        <v>900</v>
      </c>
      <c r="K11" s="38" t="n">
        <v>900</v>
      </c>
      <c r="L11" s="38" t="n">
        <v>900</v>
      </c>
      <c r="M11" s="38" t="n">
        <v>900</v>
      </c>
      <c r="N11" s="38" t="n">
        <v>900</v>
      </c>
      <c r="O11" s="38" t="n">
        <v>900</v>
      </c>
      <c r="P11" s="38" t="n">
        <v>900</v>
      </c>
      <c r="Q11" s="38" t="n">
        <v>900</v>
      </c>
      <c r="R11" s="36">
        <f>IF(COUNT(F11:Q11)=0,"",SUM(F11:Q11))</f>
        <v/>
      </c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4" t="inlineStr">
        <is>
          <t>Freelance Contractors</t>
        </is>
      </c>
      <c r="C12" s="34" t="inlineStr">
        <is>
          <t>Contractors</t>
        </is>
      </c>
      <c r="D12" s="48" t="inlineStr">
        <is>
          <t>Variable</t>
        </is>
      </c>
      <c r="E12" s="48" t="n"/>
      <c r="F12" s="35" t="n">
        <v>1500</v>
      </c>
      <c r="G12" s="35" t="n">
        <v>1200</v>
      </c>
      <c r="H12" s="35" t="n">
        <v>2500</v>
      </c>
      <c r="I12" s="35" t="n">
        <v>2000</v>
      </c>
      <c r="J12" s="35" t="n">
        <v>1800</v>
      </c>
      <c r="K12" s="35" t="n">
        <v>3500</v>
      </c>
      <c r="L12" s="35" t="n">
        <v>1500</v>
      </c>
      <c r="M12" s="35" t="n">
        <v>1200</v>
      </c>
      <c r="N12" s="35" t="n">
        <v>2500</v>
      </c>
      <c r="O12" s="35" t="n">
        <v>3000</v>
      </c>
      <c r="P12" s="35" t="n">
        <v>4000</v>
      </c>
      <c r="Q12" s="35" t="n">
        <v>2000</v>
      </c>
      <c r="R12" s="36">
        <f>IF(COUNT(F12:Q12)=0,"",SUM(F12:Q12))</f>
        <v/>
      </c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inlineStr">
        <is>
          <t>Merchant Fees</t>
        </is>
      </c>
      <c r="C13" s="37" t="inlineStr">
        <is>
          <t>Bank &amp; Merchant Fees</t>
        </is>
      </c>
      <c r="D13" s="47" t="inlineStr">
        <is>
          <t>Variable</t>
        </is>
      </c>
      <c r="E13" s="47" t="n"/>
      <c r="F13" s="38" t="n">
        <v>320</v>
      </c>
      <c r="G13" s="38" t="n">
        <v>320</v>
      </c>
      <c r="H13" s="38" t="n">
        <v>320</v>
      </c>
      <c r="I13" s="38" t="n">
        <v>320</v>
      </c>
      <c r="J13" s="38" t="n">
        <v>320</v>
      </c>
      <c r="K13" s="38" t="n">
        <v>320</v>
      </c>
      <c r="L13" s="38" t="n">
        <v>320</v>
      </c>
      <c r="M13" s="38" t="n">
        <v>320</v>
      </c>
      <c r="N13" s="38" t="n">
        <v>320</v>
      </c>
      <c r="O13" s="38" t="n">
        <v>320</v>
      </c>
      <c r="P13" s="38" t="n">
        <v>320</v>
      </c>
      <c r="Q13" s="38" t="n">
        <v>320</v>
      </c>
      <c r="R13" s="36">
        <f>IF(COUNT(F13:Q13)=0,"",SUM(F13:Q13))</f>
        <v/>
      </c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4" t="inlineStr">
        <is>
          <t>Equipment Upgrade</t>
        </is>
      </c>
      <c r="C14" s="34" t="inlineStr">
        <is>
          <t>Equipment</t>
        </is>
      </c>
      <c r="D14" s="48" t="inlineStr">
        <is>
          <t>Variable</t>
        </is>
      </c>
      <c r="E14" s="48" t="n"/>
      <c r="F14" s="35" t="n"/>
      <c r="G14" s="35" t="n"/>
      <c r="H14" s="35" t="n">
        <v>4200</v>
      </c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6">
        <f>IF(COUNT(F14:Q14)=0,"",SUM(F14:Q14))</f>
        <v/>
      </c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inlineStr">
        <is>
          <t>Estimated Taxes</t>
        </is>
      </c>
      <c r="C15" s="37" t="inlineStr">
        <is>
          <t>Taxes &amp; Licenses</t>
        </is>
      </c>
      <c r="D15" s="47" t="inlineStr">
        <is>
          <t>Fixed</t>
        </is>
      </c>
      <c r="E15" s="47" t="n"/>
      <c r="F15" s="38" t="n">
        <v>4500</v>
      </c>
      <c r="G15" s="38" t="n"/>
      <c r="H15" s="38" t="n"/>
      <c r="I15" s="38" t="n">
        <v>4500</v>
      </c>
      <c r="J15" s="38" t="n"/>
      <c r="K15" s="38" t="n"/>
      <c r="L15" s="38" t="n">
        <v>4500</v>
      </c>
      <c r="M15" s="38" t="n"/>
      <c r="N15" s="38" t="n"/>
      <c r="O15" s="38" t="n">
        <v>4500</v>
      </c>
      <c r="P15" s="38" t="n"/>
      <c r="Q15" s="38" t="n"/>
      <c r="R15" s="36">
        <f>IF(COUNT(F15:Q15)=0,"",SUM(F15:Q15))</f>
        <v/>
      </c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34" t="n"/>
      <c r="C16" s="34" t="n"/>
      <c r="D16" s="48" t="n"/>
      <c r="E16" s="48" t="n"/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6">
        <f>IF(COUNT(F16:Q16)=0,"",SUM(F16:Q16))</f>
        <v/>
      </c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7" t="n"/>
      <c r="C17" s="37" t="n"/>
      <c r="D17" s="47" t="n"/>
      <c r="E17" s="47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6">
        <f>IF(COUNT(F17:Q17)=0,"",SUM(F17:Q17))</f>
        <v/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34" t="n"/>
      <c r="C18" s="34" t="n"/>
      <c r="D18" s="48" t="n"/>
      <c r="E18" s="48" t="n"/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6">
        <f>IF(COUNT(F18:Q18)=0,"",SUM(F18:Q18))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7" t="n"/>
      <c r="C19" s="37" t="n"/>
      <c r="D19" s="47" t="n"/>
      <c r="E19" s="47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6">
        <f>IF(COUNT(F19:Q19)=0,"",SUM(F19:Q19))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34" t="n"/>
      <c r="C20" s="34" t="n"/>
      <c r="D20" s="48" t="n"/>
      <c r="E20" s="48" t="n"/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6">
        <f>IF(COUNT(F20:Q20)=0,"",SUM(F20:Q20))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37" t="n"/>
      <c r="C21" s="37" t="n"/>
      <c r="D21" s="47" t="n"/>
      <c r="E21" s="47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6">
        <f>IF(COUNT(F21:Q21)=0,"",SUM(F21:Q21))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34" t="n"/>
      <c r="C22" s="34" t="n"/>
      <c r="D22" s="48" t="n"/>
      <c r="E22" s="48" t="n"/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6">
        <f>IF(COUNT(F22:Q22)=0,"",SUM(F22:Q22))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37" t="n"/>
      <c r="C23" s="37" t="n"/>
      <c r="D23" s="47" t="n"/>
      <c r="E23" s="47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6">
        <f>IF(COUNT(F23:Q23)=0,"",SUM(F23:Q23))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34" t="n"/>
      <c r="C24" s="34" t="n"/>
      <c r="D24" s="48" t="n"/>
      <c r="E24" s="48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>
        <f>IF(COUNT(F24:Q24)=0,"",SUM(F24:Q24))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37" t="n"/>
      <c r="C25" s="37" t="n"/>
      <c r="D25" s="47" t="n"/>
      <c r="E25" s="47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6">
        <f>IF(COUNT(F25:Q25)=0,"",SUM(F25:Q25))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34" t="n"/>
      <c r="C26" s="34" t="n"/>
      <c r="D26" s="48" t="n"/>
      <c r="E26" s="48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6">
        <f>IF(COUNT(F26:Q26)=0,"",SUM(F26:Q26))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37" t="n"/>
      <c r="C27" s="37" t="n"/>
      <c r="D27" s="47" t="n"/>
      <c r="E27" s="47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6">
        <f>IF(COUNT(F27:Q27)=0,"",SUM(F27:Q27))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34" t="n"/>
      <c r="C28" s="34" t="n"/>
      <c r="D28" s="48" t="n"/>
      <c r="E28" s="48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6">
        <f>IF(COUNT(F28:Q28)=0,"",SUM(F28:Q28))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37" t="n"/>
      <c r="C29" s="37" t="n"/>
      <c r="D29" s="47" t="n"/>
      <c r="E29" s="47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6">
        <f>IF(COUNT(F29:Q29)=0,"",SUM(F29:Q29))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34" t="n"/>
      <c r="C30" s="34" t="n"/>
      <c r="D30" s="48" t="n"/>
      <c r="E30" s="48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6">
        <f>IF(COUNT(F30:Q30)=0,"",SUM(F30:Q30))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37" t="n"/>
      <c r="C31" s="37" t="n"/>
      <c r="D31" s="47" t="n"/>
      <c r="E31" s="47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6">
        <f>IF(COUNT(F31:Q31)=0,"",SUM(F31:Q31))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34" t="n"/>
      <c r="C32" s="34" t="n"/>
      <c r="D32" s="48" t="n"/>
      <c r="E32" s="48" t="n"/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6">
        <f>IF(COUNT(F32:Q32)=0,"",SUM(F32:Q32))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37" t="n"/>
      <c r="C33" s="37" t="n"/>
      <c r="D33" s="47" t="n"/>
      <c r="E33" s="47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6">
        <f>IF(COUNT(F33:Q33)=0,"",SUM(F33:Q33))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34" t="n"/>
      <c r="C34" s="34" t="n"/>
      <c r="D34" s="48" t="n"/>
      <c r="E34" s="48" t="n"/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6">
        <f>IF(COUNT(F34:Q34)=0,"",SUM(F34:Q34))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37" t="n"/>
      <c r="C35" s="37" t="n"/>
      <c r="D35" s="47" t="n"/>
      <c r="E35" s="47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6">
        <f>IF(COUNT(F35:Q35)=0,"",SUM(F35:Q35))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34" t="n"/>
      <c r="C36" s="34" t="n"/>
      <c r="D36" s="48" t="n"/>
      <c r="E36" s="48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6">
        <f>IF(COUNT(F36:Q36)=0,"",SUM(F36:Q36))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37" t="n"/>
      <c r="C37" s="37" t="n"/>
      <c r="D37" s="47" t="n"/>
      <c r="E37" s="47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6">
        <f>IF(COUNT(F37:Q37)=0,"",SUM(F37:Q37))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34" t="n"/>
      <c r="C38" s="34" t="n"/>
      <c r="D38" s="48" t="n"/>
      <c r="E38" s="48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6">
        <f>IF(COUNT(F38:Q38)=0,"",SUM(F38:Q38))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37" t="n"/>
      <c r="C39" s="37" t="n"/>
      <c r="D39" s="47" t="n"/>
      <c r="E39" s="47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6">
        <f>IF(COUNT(F39:Q39)=0,"",SUM(F39:Q39))</f>
        <v/>
      </c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34" t="n"/>
      <c r="C40" s="34" t="n"/>
      <c r="D40" s="48" t="n"/>
      <c r="E40" s="48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6">
        <f>IF(COUNT(F40:Q40)=0,"",SUM(F40:Q40))</f>
        <v/>
      </c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37" t="n"/>
      <c r="C41" s="37" t="n"/>
      <c r="D41" s="47" t="n"/>
      <c r="E41" s="47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6">
        <f>IF(COUNT(F41:Q41)=0,"",SUM(F41:Q41))</f>
        <v/>
      </c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34" t="n"/>
      <c r="C42" s="34" t="n"/>
      <c r="D42" s="48" t="n"/>
      <c r="E42" s="48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6">
        <f>IF(COUNT(F42:Q42)=0,"",SUM(F42:Q42))</f>
        <v/>
      </c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37" t="n"/>
      <c r="C43" s="37" t="n"/>
      <c r="D43" s="47" t="n"/>
      <c r="E43" s="47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6">
        <f>IF(COUNT(F43:Q43)=0,"",SUM(F43:Q43))</f>
        <v/>
      </c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34" t="n"/>
      <c r="C44" s="34" t="n"/>
      <c r="D44" s="48" t="n"/>
      <c r="E44" s="48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>
        <f>IF(COUNT(F44:Q44)=0,"",SUM(F44:Q44))</f>
        <v/>
      </c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37" t="n"/>
      <c r="C45" s="37" t="n"/>
      <c r="D45" s="47" t="n"/>
      <c r="E45" s="47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6">
        <f>IF(COUNT(F45:Q45)=0,"",SUM(F45:Q45))</f>
        <v/>
      </c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34" t="n"/>
      <c r="C46" s="34" t="n"/>
      <c r="D46" s="48" t="n"/>
      <c r="E46" s="48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>
        <f>IF(COUNT(F46:Q46)=0,"",SUM(F46:Q46))</f>
        <v/>
      </c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37" t="n"/>
      <c r="C47" s="37" t="n"/>
      <c r="D47" s="47" t="n"/>
      <c r="E47" s="47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6">
        <f>IF(COUNT(F47:Q47)=0,"",SUM(F47:Q47))</f>
        <v/>
      </c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34" t="n"/>
      <c r="C48" s="34" t="n"/>
      <c r="D48" s="48" t="n"/>
      <c r="E48" s="48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>
        <f>IF(COUNT(F48:Q48)=0,"",SUM(F48:Q48))</f>
        <v/>
      </c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37" t="n"/>
      <c r="C49" s="37" t="n"/>
      <c r="D49" s="47" t="n"/>
      <c r="E49" s="47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6">
        <f>IF(COUNT(F49:Q49)=0,"",SUM(F49:Q49))</f>
        <v/>
      </c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34" t="n"/>
      <c r="C50" s="34" t="n"/>
      <c r="D50" s="48" t="n"/>
      <c r="E50" s="48" t="n"/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>
        <f>IF(COUNT(F50:Q50)=0,"",SUM(F50:Q50))</f>
        <v/>
      </c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37" t="n"/>
      <c r="C51" s="37" t="n"/>
      <c r="D51" s="47" t="n"/>
      <c r="E51" s="47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6">
        <f>IF(COUNT(F51:Q51)=0,"",SUM(F51:Q51))</f>
        <v/>
      </c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34" t="n"/>
      <c r="C52" s="34" t="n"/>
      <c r="D52" s="48" t="n"/>
      <c r="E52" s="48" t="n"/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>
        <f>IF(COUNT(F52:Q52)=0,"",SUM(F52:Q52))</f>
        <v/>
      </c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37" t="n"/>
      <c r="C53" s="37" t="n"/>
      <c r="D53" s="47" t="n"/>
      <c r="E53" s="47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6">
        <f>IF(COUNT(F53:Q53)=0,"",SUM(F53:Q53))</f>
        <v/>
      </c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34" t="n"/>
      <c r="C54" s="34" t="n"/>
      <c r="D54" s="48" t="n"/>
      <c r="E54" s="48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>
        <f>IF(COUNT(F54:Q54)=0,"",SUM(F54:Q54))</f>
        <v/>
      </c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37" t="n"/>
      <c r="C55" s="37" t="n"/>
      <c r="D55" s="47" t="n"/>
      <c r="E55" s="47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6">
        <f>IF(COUNT(F55:Q55)=0,"",SUM(F55:Q55))</f>
        <v/>
      </c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34" t="n"/>
      <c r="C56" s="34" t="n"/>
      <c r="D56" s="48" t="n"/>
      <c r="E56" s="48" t="n"/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6">
        <f>IF(COUNT(F56:Q56)=0,"",SUM(F56:Q56))</f>
        <v/>
      </c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37" t="n"/>
      <c r="C57" s="37" t="n"/>
      <c r="D57" s="47" t="n"/>
      <c r="E57" s="47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6">
        <f>IF(COUNT(F57:Q57)=0,"",SUM(F57:Q57))</f>
        <v/>
      </c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34" t="n"/>
      <c r="C58" s="34" t="n"/>
      <c r="D58" s="48" t="n"/>
      <c r="E58" s="48" t="n"/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6">
        <f>IF(COUNT(F58:Q58)=0,"",SUM(F58:Q58))</f>
        <v/>
      </c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37" t="n"/>
      <c r="C59" s="37" t="n"/>
      <c r="D59" s="47" t="n"/>
      <c r="E59" s="47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6">
        <f>IF(COUNT(F59:Q59)=0,"",SUM(F59:Q59))</f>
        <v/>
      </c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34" t="n"/>
      <c r="C60" s="34" t="n"/>
      <c r="D60" s="48" t="n"/>
      <c r="E60" s="48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6">
        <f>IF(COUNT(F60:Q60)=0,"",SUM(F60:Q60))</f>
        <v/>
      </c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37" t="n"/>
      <c r="C61" s="37" t="n"/>
      <c r="D61" s="47" t="n"/>
      <c r="E61" s="47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6">
        <f>IF(COUNT(F61:Q61)=0,"",SUM(F61:Q61))</f>
        <v/>
      </c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34" t="n"/>
      <c r="C62" s="34" t="n"/>
      <c r="D62" s="48" t="n"/>
      <c r="E62" s="48" t="n"/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6">
        <f>IF(COUNT(F62:Q62)=0,"",SUM(F62:Q62))</f>
        <v/>
      </c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37" t="n"/>
      <c r="C63" s="37" t="n"/>
      <c r="D63" s="47" t="n"/>
      <c r="E63" s="47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6">
        <f>IF(COUNT(F63:Q63)=0,"",SUM(F63:Q63))</f>
        <v/>
      </c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34" t="n"/>
      <c r="C64" s="34" t="n"/>
      <c r="D64" s="48" t="n"/>
      <c r="E64" s="48" t="n"/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6">
        <f>IF(COUNT(F64:Q64)=0,"",SUM(F64:Q64))</f>
        <v/>
      </c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37" t="n"/>
      <c r="C65" s="37" t="n"/>
      <c r="D65" s="47" t="n"/>
      <c r="E65" s="47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6">
        <f>IF(COUNT(F65:Q65)=0,"",SUM(F65:Q65))</f>
        <v/>
      </c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34" t="n"/>
      <c r="C66" s="34" t="n"/>
      <c r="D66" s="48" t="n"/>
      <c r="E66" s="48" t="n"/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6">
        <f>IF(COUNT(F66:Q66)=0,"",SUM(F66:Q66))</f>
        <v/>
      </c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 ht="22" customHeight="1">
      <c r="A67" s="1" t="n"/>
      <c r="B67" s="25" t="inlineStr">
        <is>
          <t>TOTAL</t>
        </is>
      </c>
      <c r="C67" s="25" t="n"/>
      <c r="D67" s="25" t="n"/>
      <c r="E67" s="25" t="n"/>
      <c r="F67" s="29">
        <f>SUM(F6:F66)</f>
        <v/>
      </c>
      <c r="G67" s="29">
        <f>SUM(G6:G66)</f>
        <v/>
      </c>
      <c r="H67" s="29">
        <f>SUM(H6:H66)</f>
        <v/>
      </c>
      <c r="I67" s="29">
        <f>SUM(I6:I66)</f>
        <v/>
      </c>
      <c r="J67" s="29">
        <f>SUM(J6:J66)</f>
        <v/>
      </c>
      <c r="K67" s="29">
        <f>SUM(K6:K66)</f>
        <v/>
      </c>
      <c r="L67" s="29">
        <f>SUM(L6:L66)</f>
        <v/>
      </c>
      <c r="M67" s="29">
        <f>SUM(M6:M66)</f>
        <v/>
      </c>
      <c r="N67" s="29">
        <f>SUM(N6:N66)</f>
        <v/>
      </c>
      <c r="O67" s="29">
        <f>SUM(O6:O66)</f>
        <v/>
      </c>
      <c r="P67" s="29">
        <f>SUM(P6:P66)</f>
        <v/>
      </c>
      <c r="Q67" s="29">
        <f>SUM(Q6:Q66)</f>
        <v/>
      </c>
      <c r="R67" s="29">
        <f>SUM(R6:R66)</f>
        <v/>
      </c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2:R2"/>
    <mergeCell ref="B4:R4"/>
    <mergeCell ref="B3:R3"/>
  </mergeCells>
  <conditionalFormatting sqref="D6:D66">
    <cfRule type="expression" priority="1" dxfId="5">
      <formula>$D6="Fixed"</formula>
    </cfRule>
  </conditionalFormatting>
  <dataValidations count="2">
    <dataValidation sqref="C7:C66" showDropDown="0" showInputMessage="0" showErrorMessage="0" allowBlank="1" type="list">
      <formula1>=Lists!$A$2:$A$18</formula1>
    </dataValidation>
    <dataValidation sqref="D7:D66" showDropDown="0" showInputMessage="0" showErrorMessage="0" allowBlank="1" type="list">
      <formula1>=Lists!$B$2:$B$3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B8A6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5" customWidth="1" min="5" max="5"/>
    <col width="13" customWidth="1" min="6" max="6"/>
    <col width="15" customWidth="1" min="7" max="7"/>
    <col width="13" customWidth="1" min="8" max="8"/>
    <col width="16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Reserve Goals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Cash reserves, tax set-asides and equipment funds. Progress and monthly amount needed update automatically.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Goal</t>
        </is>
      </c>
      <c r="C5" s="14" t="inlineStr">
        <is>
          <t>Target</t>
        </is>
      </c>
      <c r="D5" s="14" t="inlineStr">
        <is>
          <t>Saved So Far</t>
        </is>
      </c>
      <c r="E5" s="14" t="inlineStr">
        <is>
          <t>Remaining</t>
        </is>
      </c>
      <c r="F5" s="14" t="inlineStr">
        <is>
          <t>Progress</t>
        </is>
      </c>
      <c r="G5" s="14" t="inlineStr">
        <is>
          <t>Target Date</t>
        </is>
      </c>
      <c r="H5" s="14" t="inlineStr">
        <is>
          <t>Months Left</t>
        </is>
      </c>
      <c r="I5" s="14" t="inlineStr">
        <is>
          <t>Needed / Month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4" t="inlineStr">
        <is>
          <t>Cash Reserve (3 months)</t>
        </is>
      </c>
      <c r="C6" s="35" t="n">
        <v>45000</v>
      </c>
      <c r="D6" s="35" t="n">
        <v>18000</v>
      </c>
      <c r="E6" s="46">
        <f>IF(C6="","",MAX(0,C6-D6))</f>
        <v/>
      </c>
      <c r="F6" s="49">
        <f>IF(C6="","",IFERROR(MIN(1,D6/C6),0))</f>
        <v/>
      </c>
      <c r="G6" s="50" t="n">
        <v>46387</v>
      </c>
      <c r="H6" s="51">
        <f>IF(G6="","",IFERROR(MAX(0,DATEDIF(TODAY(),G6,"m")),0))</f>
        <v/>
      </c>
      <c r="I6" s="46">
        <f>IF(OR(E6="",H6=""),"",E6/MAX(1,H6))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inlineStr">
        <is>
          <t>Tax Set-Aside</t>
        </is>
      </c>
      <c r="C7" s="38" t="n">
        <v>18000</v>
      </c>
      <c r="D7" s="38" t="n">
        <v>4500</v>
      </c>
      <c r="E7" s="46">
        <f>IF(C7="","",MAX(0,C7-D7))</f>
        <v/>
      </c>
      <c r="F7" s="49">
        <f>IF(C7="","",IFERROR(MIN(1,D7/C7),0))</f>
        <v/>
      </c>
      <c r="G7" s="52" t="n">
        <v>46492</v>
      </c>
      <c r="H7" s="51">
        <f>IF(G7="","",IFERROR(MAX(0,DATEDIF(TODAY(),G7,"m")),0))</f>
        <v/>
      </c>
      <c r="I7" s="46">
        <f>IF(OR(E7="",H7=""),"",E7/MAX(1,H7))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4" t="n"/>
      <c r="C8" s="35" t="n"/>
      <c r="D8" s="35" t="n"/>
      <c r="E8" s="46">
        <f>IF(C8="","",MAX(0,C8-D8))</f>
        <v/>
      </c>
      <c r="F8" s="49">
        <f>IF(C8="","",IFERROR(MIN(1,D8/C8),0))</f>
        <v/>
      </c>
      <c r="G8" s="50" t="n"/>
      <c r="H8" s="51">
        <f>IF(G8="","",IFERROR(MAX(0,DATEDIF(TODAY(),G8,"m")),0))</f>
        <v/>
      </c>
      <c r="I8" s="46">
        <f>IF(OR(E8="",H8=""),"",E8/MAX(1,H8))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n"/>
      <c r="C9" s="38" t="n"/>
      <c r="D9" s="38" t="n"/>
      <c r="E9" s="46">
        <f>IF(C9="","",MAX(0,C9-D9))</f>
        <v/>
      </c>
      <c r="F9" s="49">
        <f>IF(C9="","",IFERROR(MIN(1,D9/C9),0))</f>
        <v/>
      </c>
      <c r="G9" s="52" t="n"/>
      <c r="H9" s="51">
        <f>IF(G9="","",IFERROR(MAX(0,DATEDIF(TODAY(),G9,"m")),0))</f>
        <v/>
      </c>
      <c r="I9" s="46">
        <f>IF(OR(E9="",H9=""),"",E9/MAX(1,H9))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4" t="n"/>
      <c r="C10" s="35" t="n"/>
      <c r="D10" s="35" t="n"/>
      <c r="E10" s="46">
        <f>IF(C10="","",MAX(0,C10-D10))</f>
        <v/>
      </c>
      <c r="F10" s="49">
        <f>IF(C10="","",IFERROR(MIN(1,D10/C10),0))</f>
        <v/>
      </c>
      <c r="G10" s="50" t="n"/>
      <c r="H10" s="51">
        <f>IF(G10="","",IFERROR(MAX(0,DATEDIF(TODAY(),G10,"m")),0))</f>
        <v/>
      </c>
      <c r="I10" s="46">
        <f>IF(OR(E10="",H10=""),"",E10/MAX(1,H10))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n"/>
      <c r="C11" s="38" t="n"/>
      <c r="D11" s="38" t="n"/>
      <c r="E11" s="46">
        <f>IF(C11="","",MAX(0,C11-D11))</f>
        <v/>
      </c>
      <c r="F11" s="49">
        <f>IF(C11="","",IFERROR(MIN(1,D11/C11),0))</f>
        <v/>
      </c>
      <c r="G11" s="52" t="n"/>
      <c r="H11" s="51">
        <f>IF(G11="","",IFERROR(MAX(0,DATEDIF(TODAY(),G11,"m")),0))</f>
        <v/>
      </c>
      <c r="I11" s="46">
        <f>IF(OR(E11="",H11=""),"",E11/MAX(1,H11))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4" t="n"/>
      <c r="C12" s="35" t="n"/>
      <c r="D12" s="35" t="n"/>
      <c r="E12" s="46">
        <f>IF(C12="","",MAX(0,C12-D12))</f>
        <v/>
      </c>
      <c r="F12" s="49">
        <f>IF(C12="","",IFERROR(MIN(1,D12/C12),0))</f>
        <v/>
      </c>
      <c r="G12" s="50" t="n"/>
      <c r="H12" s="51">
        <f>IF(G12="","",IFERROR(MAX(0,DATEDIF(TODAY(),G12,"m")),0))</f>
        <v/>
      </c>
      <c r="I12" s="46">
        <f>IF(OR(E12="",H12=""),"",E12/MAX(1,H12))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n"/>
      <c r="C13" s="38" t="n"/>
      <c r="D13" s="38" t="n"/>
      <c r="E13" s="46">
        <f>IF(C13="","",MAX(0,C13-D13))</f>
        <v/>
      </c>
      <c r="F13" s="49">
        <f>IF(C13="","",IFERROR(MIN(1,D13/C13),0))</f>
        <v/>
      </c>
      <c r="G13" s="52" t="n"/>
      <c r="H13" s="51">
        <f>IF(G13="","",IFERROR(MAX(0,DATEDIF(TODAY(),G13,"m")),0))</f>
        <v/>
      </c>
      <c r="I13" s="46">
        <f>IF(OR(E13="",H13=""),"",E13/MAX(1,H13))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4" t="n"/>
      <c r="C14" s="35" t="n"/>
      <c r="D14" s="35" t="n"/>
      <c r="E14" s="46">
        <f>IF(C14="","",MAX(0,C14-D14))</f>
        <v/>
      </c>
      <c r="F14" s="49">
        <f>IF(C14="","",IFERROR(MIN(1,D14/C14),0))</f>
        <v/>
      </c>
      <c r="G14" s="50" t="n"/>
      <c r="H14" s="51">
        <f>IF(G14="","",IFERROR(MAX(0,DATEDIF(TODAY(),G14,"m")),0))</f>
        <v/>
      </c>
      <c r="I14" s="46">
        <f>IF(OR(E14="",H14=""),"",E14/MAX(1,H14))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n"/>
      <c r="C15" s="38" t="n"/>
      <c r="D15" s="38" t="n"/>
      <c r="E15" s="46">
        <f>IF(C15="","",MAX(0,C15-D15))</f>
        <v/>
      </c>
      <c r="F15" s="49">
        <f>IF(C15="","",IFERROR(MIN(1,D15/C15),0))</f>
        <v/>
      </c>
      <c r="G15" s="52" t="n"/>
      <c r="H15" s="51">
        <f>IF(G15="","",IFERROR(MAX(0,DATEDIF(TODAY(),G15,"m")),0))</f>
        <v/>
      </c>
      <c r="I15" s="46">
        <f>IF(OR(E15="",H15=""),"",E15/MAX(1,H15))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 ht="22" customHeight="1">
      <c r="A16" s="1" t="n"/>
      <c r="B16" s="25" t="inlineStr">
        <is>
          <t>TOTAL</t>
        </is>
      </c>
      <c r="C16" s="29">
        <f>SUM(C6:C15)</f>
        <v/>
      </c>
      <c r="D16" s="29">
        <f>SUM(D6:D15)</f>
        <v/>
      </c>
      <c r="E16" s="29">
        <f>SUM(E6:E15)</f>
        <v/>
      </c>
      <c r="F16" s="30">
        <f>IFERROR(D16/C16,0)</f>
        <v/>
      </c>
      <c r="G16" s="25" t="n"/>
      <c r="H16" s="25" t="n"/>
      <c r="I16" s="25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I3"/>
    <mergeCell ref="B2:I2"/>
    <mergeCell ref="B4:I4"/>
  </mergeCells>
  <conditionalFormatting sqref="F6:F15">
    <cfRule type="dataBar" priority="1">
      <dataBar minLength="0" maxLength="30">
        <cfvo type="num" val="0"/>
        <cfvo type="num" val="1"/>
        <color rgb="0014B8A6"/>
      </dataBar>
    </cfRule>
  </conditionalFormatting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B8A6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0" customWidth="1" min="4" max="4"/>
    <col width="15" customWidth="1" min="5" max="5"/>
    <col width="16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Loans &amp; Credit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Payoff time assumes the minimum payment every month with no new draws.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Loan / Credit Line</t>
        </is>
      </c>
      <c r="C5" s="14" t="inlineStr">
        <is>
          <t>Balance</t>
        </is>
      </c>
      <c r="D5" s="14" t="inlineStr">
        <is>
          <t>APR %</t>
        </is>
      </c>
      <c r="E5" s="14" t="inlineStr">
        <is>
          <t>Min Payment</t>
        </is>
      </c>
      <c r="F5" s="14" t="inlineStr">
        <is>
          <t>Months to Payoff</t>
        </is>
      </c>
      <c r="G5" s="14" t="inlineStr">
        <is>
          <t>Est. Interest</t>
        </is>
      </c>
      <c r="H5" s="14" t="inlineStr">
        <is>
          <t>Payoff Date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4" t="inlineStr">
        <is>
          <t>Business Credit Card</t>
        </is>
      </c>
      <c r="C6" s="35" t="n">
        <v>6400</v>
      </c>
      <c r="D6" s="53" t="n">
        <v>19.9</v>
      </c>
      <c r="E6" s="35" t="n">
        <v>220</v>
      </c>
      <c r="F6" s="54">
        <f>IF(OR(C6="",E6=""),"",IF(N(D6)=0,ROUNDUP(C6/E6,0),IFERROR(ROUNDUP(NPER(D6/1200,-E6,C6),0),"Never")))</f>
        <v/>
      </c>
      <c r="G6" s="55">
        <f>IF(ISNUMBER(F6),MAX(0,F6*E6-C6),"")</f>
        <v/>
      </c>
      <c r="H6" s="56">
        <f>IF(ISNUMBER(F6),EDATE(TODAY(),F6),"")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7" t="inlineStr">
        <is>
          <t>Equipment Loan</t>
        </is>
      </c>
      <c r="C7" s="38" t="n">
        <v>21000</v>
      </c>
      <c r="D7" s="57" t="n">
        <v>7.25</v>
      </c>
      <c r="E7" s="38" t="n">
        <v>640</v>
      </c>
      <c r="F7" s="54">
        <f>IF(OR(C7="",E7=""),"",IF(N(D7)=0,ROUNDUP(C7/E7,0),IFERROR(ROUNDUP(NPER(D7/1200,-E7,C7),0),"Never")))</f>
        <v/>
      </c>
      <c r="G7" s="55">
        <f>IF(ISNUMBER(F7),MAX(0,F7*E7-C7),"")</f>
        <v/>
      </c>
      <c r="H7" s="56">
        <f>IF(ISNUMBER(F7),EDATE(TODAY(),F7),"")</f>
        <v/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34" t="n"/>
      <c r="C8" s="35" t="n"/>
      <c r="D8" s="53" t="n"/>
      <c r="E8" s="35" t="n"/>
      <c r="F8" s="54">
        <f>IF(OR(C8="",E8=""),"",IF(N(D8)=0,ROUNDUP(C8/E8,0),IFERROR(ROUNDUP(NPER(D8/1200,-E8,C8),0),"Never")))</f>
        <v/>
      </c>
      <c r="G8" s="55">
        <f>IF(ISNUMBER(F8),MAX(0,F8*E8-C8),"")</f>
        <v/>
      </c>
      <c r="H8" s="56">
        <f>IF(ISNUMBER(F8),EDATE(TODAY(),F8),"")</f>
        <v/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7" t="n"/>
      <c r="C9" s="38" t="n"/>
      <c r="D9" s="57" t="n"/>
      <c r="E9" s="38" t="n"/>
      <c r="F9" s="54">
        <f>IF(OR(C9="",E9=""),"",IF(N(D9)=0,ROUNDUP(C9/E9,0),IFERROR(ROUNDUP(NPER(D9/1200,-E9,C9),0),"Never")))</f>
        <v/>
      </c>
      <c r="G9" s="55">
        <f>IF(ISNUMBER(F9),MAX(0,F9*E9-C9),"")</f>
        <v/>
      </c>
      <c r="H9" s="56">
        <f>IF(ISNUMBER(F9),EDATE(TODAY(),F9),"")</f>
        <v/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34" t="n"/>
      <c r="C10" s="35" t="n"/>
      <c r="D10" s="53" t="n"/>
      <c r="E10" s="35" t="n"/>
      <c r="F10" s="54">
        <f>IF(OR(C10="",E10=""),"",IF(N(D10)=0,ROUNDUP(C10/E10,0),IFERROR(ROUNDUP(NPER(D10/1200,-E10,C10),0),"Never")))</f>
        <v/>
      </c>
      <c r="G10" s="55">
        <f>IF(ISNUMBER(F10),MAX(0,F10*E10-C10),"")</f>
        <v/>
      </c>
      <c r="H10" s="56">
        <f>IF(ISNUMBER(F10),EDATE(TODAY(),F10),"")</f>
        <v/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7" t="n"/>
      <c r="C11" s="38" t="n"/>
      <c r="D11" s="57" t="n"/>
      <c r="E11" s="38" t="n"/>
      <c r="F11" s="54">
        <f>IF(OR(C11="",E11=""),"",IF(N(D11)=0,ROUNDUP(C11/E11,0),IFERROR(ROUNDUP(NPER(D11/1200,-E11,C11),0),"Never")))</f>
        <v/>
      </c>
      <c r="G11" s="55">
        <f>IF(ISNUMBER(F11),MAX(0,F11*E11-C11),"")</f>
        <v/>
      </c>
      <c r="H11" s="56">
        <f>IF(ISNUMBER(F11),EDATE(TODAY(),F11),"")</f>
        <v/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34" t="n"/>
      <c r="C12" s="35" t="n"/>
      <c r="D12" s="53" t="n"/>
      <c r="E12" s="35" t="n"/>
      <c r="F12" s="54">
        <f>IF(OR(C12="",E12=""),"",IF(N(D12)=0,ROUNDUP(C12/E12,0),IFERROR(ROUNDUP(NPER(D12/1200,-E12,C12),0),"Never")))</f>
        <v/>
      </c>
      <c r="G12" s="55">
        <f>IF(ISNUMBER(F12),MAX(0,F12*E12-C12),"")</f>
        <v/>
      </c>
      <c r="H12" s="56">
        <f>IF(ISNUMBER(F12),EDATE(TODAY(),F12),"")</f>
        <v/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7" t="n"/>
      <c r="C13" s="38" t="n"/>
      <c r="D13" s="57" t="n"/>
      <c r="E13" s="38" t="n"/>
      <c r="F13" s="54">
        <f>IF(OR(C13="",E13=""),"",IF(N(D13)=0,ROUNDUP(C13/E13,0),IFERROR(ROUNDUP(NPER(D13/1200,-E13,C13),0),"Never")))</f>
        <v/>
      </c>
      <c r="G13" s="55">
        <f>IF(ISNUMBER(F13),MAX(0,F13*E13-C13),"")</f>
        <v/>
      </c>
      <c r="H13" s="56">
        <f>IF(ISNUMBER(F13),EDATE(TODAY(),F13),"")</f>
        <v/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34" t="n"/>
      <c r="C14" s="35" t="n"/>
      <c r="D14" s="53" t="n"/>
      <c r="E14" s="35" t="n"/>
      <c r="F14" s="54">
        <f>IF(OR(C14="",E14=""),"",IF(N(D14)=0,ROUNDUP(C14/E14,0),IFERROR(ROUNDUP(NPER(D14/1200,-E14,C14),0),"Never")))</f>
        <v/>
      </c>
      <c r="G14" s="55">
        <f>IF(ISNUMBER(F14),MAX(0,F14*E14-C14),"")</f>
        <v/>
      </c>
      <c r="H14" s="56">
        <f>IF(ISNUMBER(F14),EDATE(TODAY(),F14),"")</f>
        <v/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7" t="n"/>
      <c r="C15" s="38" t="n"/>
      <c r="D15" s="57" t="n"/>
      <c r="E15" s="38" t="n"/>
      <c r="F15" s="54">
        <f>IF(OR(C15="",E15=""),"",IF(N(D15)=0,ROUNDUP(C15/E15,0),IFERROR(ROUNDUP(NPER(D15/1200,-E15,C15),0),"Never")))</f>
        <v/>
      </c>
      <c r="G15" s="55">
        <f>IF(ISNUMBER(F15),MAX(0,F15*E15-C15),"")</f>
        <v/>
      </c>
      <c r="H15" s="56">
        <f>IF(ISNUMBER(F15),EDATE(TODAY(),F15),"")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 ht="22" customHeight="1">
      <c r="A16" s="1" t="n"/>
      <c r="B16" s="25" t="inlineStr">
        <is>
          <t>TOTAL</t>
        </is>
      </c>
      <c r="C16" s="29">
        <f>SUM(C6:C15)</f>
        <v/>
      </c>
      <c r="D16" s="25" t="n"/>
      <c r="E16" s="29">
        <f>SUM(E6:E15)</f>
        <v/>
      </c>
      <c r="F16" s="25" t="n"/>
      <c r="G16" s="25" t="n"/>
      <c r="H16" s="25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H3"/>
    <mergeCell ref="B2:H2"/>
    <mergeCell ref="B4:H4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Expense Categories</t>
        </is>
      </c>
      <c r="B1" t="inlineStr">
        <is>
          <t>Types</t>
        </is>
      </c>
      <c r="C1" t="inlineStr">
        <is>
          <t>Income Categories</t>
        </is>
      </c>
      <c r="E1" t="inlineStr">
        <is>
          <t>Planner Settings</t>
        </is>
      </c>
    </row>
    <row r="2">
      <c r="A2" t="inlineStr">
        <is>
          <t>Payroll</t>
        </is>
      </c>
      <c r="B2" t="inlineStr">
        <is>
          <t>Fixed</t>
        </is>
      </c>
      <c r="C2" t="inlineStr">
        <is>
          <t>Product Sales</t>
        </is>
      </c>
      <c r="E2" t="inlineStr">
        <is>
          <t>{"format": 1, "budget_type": "business", "title": "2026 Business Budget", "owner": "Northwind Studio LLC", "year": 2026, "start_month": 1, "currency_symbol": "$", "mode": "light", "accent": "teal", "category_chart": "bar", "features": {"savings_goals": true, "debt_tracker": true}, "pay": {"frequency": "semimonthly", "amount": 6800.0, "semimonthly_days": ["15", "last"]}}</t>
        </is>
      </c>
    </row>
    <row r="3">
      <c r="A3" t="inlineStr">
        <is>
          <t>Rent &amp; Facilities</t>
        </is>
      </c>
      <c r="B3" t="inlineStr">
        <is>
          <t>Variable</t>
        </is>
      </c>
      <c r="C3" t="inlineStr">
        <is>
          <t>Services</t>
        </is>
      </c>
    </row>
    <row r="4">
      <c r="A4" t="inlineStr">
        <is>
          <t>Utilities</t>
        </is>
      </c>
      <c r="C4" t="inlineStr">
        <is>
          <t>Recurring / Subscriptions</t>
        </is>
      </c>
    </row>
    <row r="5">
      <c r="A5" t="inlineStr">
        <is>
          <t>Software &amp; Subscriptions</t>
        </is>
      </c>
      <c r="C5" t="inlineStr">
        <is>
          <t>Consulting</t>
        </is>
      </c>
    </row>
    <row r="6">
      <c r="A6" t="inlineStr">
        <is>
          <t>Marketing &amp; Advertising</t>
        </is>
      </c>
      <c r="C6" t="inlineStr">
        <is>
          <t>Grants</t>
        </is>
      </c>
    </row>
    <row r="7">
      <c r="A7" t="inlineStr">
        <is>
          <t>Inventory / COGS</t>
        </is>
      </c>
      <c r="C7" t="inlineStr">
        <is>
          <t>Interest</t>
        </is>
      </c>
    </row>
    <row r="8">
      <c r="A8" t="inlineStr">
        <is>
          <t>Contractors</t>
        </is>
      </c>
      <c r="C8" t="inlineStr">
        <is>
          <t>Other</t>
        </is>
      </c>
    </row>
    <row r="9">
      <c r="A9" t="inlineStr">
        <is>
          <t>Supplies</t>
        </is>
      </c>
    </row>
    <row r="10">
      <c r="A10" t="inlineStr">
        <is>
          <t>Insurance</t>
        </is>
      </c>
    </row>
    <row r="11">
      <c r="A11" t="inlineStr">
        <is>
          <t>Professional Fees</t>
        </is>
      </c>
    </row>
    <row r="12">
      <c r="A12" t="inlineStr">
        <is>
          <t>Travel &amp; Meals</t>
        </is>
      </c>
    </row>
    <row r="13">
      <c r="A13" t="inlineStr">
        <is>
          <t>Equipment</t>
        </is>
      </c>
    </row>
    <row r="14">
      <c r="A14" t="inlineStr">
        <is>
          <t>Taxes &amp; Licenses</t>
        </is>
      </c>
    </row>
    <row r="15">
      <c r="A15" t="inlineStr">
        <is>
          <t>Bank &amp; Merchant Fees</t>
        </is>
      </c>
    </row>
    <row r="16">
      <c r="A16" t="inlineStr">
        <is>
          <t>Loan Payments</t>
        </is>
      </c>
    </row>
    <row r="17">
      <c r="A17" t="inlineStr">
        <is>
          <t>Owner Pay</t>
        </is>
      </c>
    </row>
    <row r="18">
      <c r="A1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Budget Planner - Claude Skill by 6inq</dc:creator>
  <dc:title>2026 Business Budget</dc:title>
  <dcterms:created xsi:type="dcterms:W3CDTF">2026-10-10T17:43:33Z</dcterms:created>
  <dcterms:modified xsi:type="dcterms:W3CDTF">2026-10-10T17:43:34Z</dcterms:modified>
</cp:coreProperties>
</file>